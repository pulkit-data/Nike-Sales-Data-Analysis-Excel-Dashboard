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13_ncr:1_{6E97D32F-C193-40B1-982A-8F74569F3068}" xr6:coauthVersionLast="47" xr6:coauthVersionMax="47" xr10:uidLastSave="{00000000-0000-0000-0000-000000000000}"/>
  <bookViews>
    <workbookView xWindow="-110" yWindow="-110" windowWidth="19420" windowHeight="11020" activeTab="1" xr2:uid="{43D1E513-9165-4712-907B-4A2B4C3D3C95}"/>
  </bookViews>
  <sheets>
    <sheet name="Nike_Sales_Uncleaned" sheetId="2" r:id="rId1"/>
    <sheet name="Sheet2" sheetId="3" r:id="rId2"/>
    <sheet name="Sheet3" sheetId="4" state="hidden" r:id="rId3"/>
  </sheets>
  <definedNames>
    <definedName name="_xlchart.v1.0" hidden="1">Sheet3!$D$4:$D$13</definedName>
    <definedName name="_xlchart.v1.1" hidden="1">Sheet3!$E$3</definedName>
    <definedName name="_xlchart.v1.2" hidden="1">Sheet3!$E$4:$E$13</definedName>
    <definedName name="_xlchart.v1.3" hidden="1">Sheet3!$D$4:$D$13</definedName>
    <definedName name="_xlchart.v1.4" hidden="1">Sheet3!$E$3</definedName>
    <definedName name="_xlchart.v1.5" hidden="1">Sheet3!$E$4:$E$13</definedName>
    <definedName name="ExternalData_1" localSheetId="0" hidden="1">Nike_Sales_Uncleaned!$A$1:$M$111</definedName>
    <definedName name="Slicer_Gender_Category">#N/A</definedName>
    <definedName name="Slicer_Product_Line">#N/A</definedName>
    <definedName name="Slicer_Region">#N/A</definedName>
    <definedName name="Slicer_Sales_Channel">#N/A</definedName>
  </definedNames>
  <calcPr calcId="191029"/>
  <pivotCaches>
    <pivotCache cacheId="98" r:id="rId4"/>
    <pivotCache cacheId="106"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4" l="1"/>
  <c r="D4" i="4"/>
  <c r="E4" i="4"/>
  <c r="D5" i="4"/>
  <c r="E5" i="4"/>
  <c r="D6" i="4"/>
  <c r="E6" i="4"/>
  <c r="D7" i="4"/>
  <c r="E7" i="4"/>
  <c r="D8" i="4"/>
  <c r="E8" i="4"/>
  <c r="D9" i="4"/>
  <c r="E9" i="4"/>
  <c r="D10" i="4"/>
  <c r="E10" i="4"/>
  <c r="D11" i="4"/>
  <c r="E11" i="4"/>
  <c r="D12" i="4"/>
  <c r="E12" i="4"/>
  <c r="D13" i="4"/>
  <c r="E13" i="4"/>
  <c r="D14" i="4"/>
  <c r="E1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BAFA8E-441F-4028-89BE-2F0D9194BC55}" keepAlive="1" name="Query - Nike_Sales_Uncleaned" description="Connection to the 'Nike_Sales_Uncleaned' query in the workbook." type="5" refreshedVersion="8" background="1" saveData="1">
    <dbPr connection="Provider=Microsoft.Mashup.OleDb.1;Data Source=$Workbook$;Location=Nike_Sales_Uncleaned;Extended Properties=&quot;&quot;" command="SELECT * FROM [Nike_Sales_Uncleaned]"/>
  </connection>
</connections>
</file>

<file path=xl/sharedStrings.xml><?xml version="1.0" encoding="utf-8"?>
<sst xmlns="http://schemas.openxmlformats.org/spreadsheetml/2006/main" count="716" uniqueCount="66">
  <si>
    <t>Order_ID</t>
  </si>
  <si>
    <t>Gender_Category</t>
  </si>
  <si>
    <t>Product_Line</t>
  </si>
  <si>
    <t>Product_Name</t>
  </si>
  <si>
    <t>Size</t>
  </si>
  <si>
    <t>Units_Sold</t>
  </si>
  <si>
    <t>MRP</t>
  </si>
  <si>
    <t>Discount_Applied</t>
  </si>
  <si>
    <t>Revenue</t>
  </si>
  <si>
    <t>Order_Date</t>
  </si>
  <si>
    <t>Sales_Channel</t>
  </si>
  <si>
    <t>Region</t>
  </si>
  <si>
    <t>Profit</t>
  </si>
  <si>
    <t>Kids</t>
  </si>
  <si>
    <t>Training</t>
  </si>
  <si>
    <t>Superrep Go</t>
  </si>
  <si>
    <t>M</t>
  </si>
  <si>
    <t>Online</t>
  </si>
  <si>
    <t>Bengaluru</t>
  </si>
  <si>
    <t>Women</t>
  </si>
  <si>
    <t>Soccer</t>
  </si>
  <si>
    <t>Tiempo Legend</t>
  </si>
  <si>
    <t>Retail</t>
  </si>
  <si>
    <t>Premier Iii</t>
  </si>
  <si>
    <t>Mumbai</t>
  </si>
  <si>
    <t>Lifestyle</t>
  </si>
  <si>
    <t>Blazer Mid</t>
  </si>
  <si>
    <t>L</t>
  </si>
  <si>
    <t>Pune</t>
  </si>
  <si>
    <t>Running</t>
  </si>
  <si>
    <t>React Infinity</t>
  </si>
  <si>
    <t>Xl</t>
  </si>
  <si>
    <t>Delhi</t>
  </si>
  <si>
    <t>Flex Trainer</t>
  </si>
  <si>
    <t>Men</t>
  </si>
  <si>
    <t>11</t>
  </si>
  <si>
    <t>Hyderabad</t>
  </si>
  <si>
    <t>Mercurial Superfly</t>
  </si>
  <si>
    <t>Waffle One</t>
  </si>
  <si>
    <t/>
  </si>
  <si>
    <t>Basketball</t>
  </si>
  <si>
    <t>Air Jordan</t>
  </si>
  <si>
    <t>Kolkata</t>
  </si>
  <si>
    <t>9</t>
  </si>
  <si>
    <t>Air Zoom</t>
  </si>
  <si>
    <t>6</t>
  </si>
  <si>
    <t>Free Rn</t>
  </si>
  <si>
    <t>Kyrie Flytrap</t>
  </si>
  <si>
    <t>Zoom Freak</t>
  </si>
  <si>
    <t>12</t>
  </si>
  <si>
    <t>Zoomx Invincible</t>
  </si>
  <si>
    <t>Phantom Gt</t>
  </si>
  <si>
    <t>Metcon 7</t>
  </si>
  <si>
    <t>Pegasus Turbo</t>
  </si>
  <si>
    <t>7</t>
  </si>
  <si>
    <t>Dunk Low</t>
  </si>
  <si>
    <t>10</t>
  </si>
  <si>
    <t>Air Force 1</t>
  </si>
  <si>
    <t>Lebron 20</t>
  </si>
  <si>
    <t>8</t>
  </si>
  <si>
    <t>Sum of Revenue</t>
  </si>
  <si>
    <t>Row Labels</t>
  </si>
  <si>
    <t>Grand Total</t>
  </si>
  <si>
    <t>Column Labels</t>
  </si>
  <si>
    <t>Product_name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</si>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</sst>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164" formatCode="_ [$₹-4009]\ * #,##0.00_ ;_ [$₹-4009]\ * \-#,##0.00_ ;_ [$₹-4009]\ * &quot;-&quot;??_ ;_ @_ "/>
    <numFmt numFmtId="165" formatCode="_ [$₹-4009]\ * #,##0.0_ ;_ [$₹-4009]\ * \-#,##0.0_ ;_ [$₹-4009]\ * &quot;-&quot;??_ ;_ @_ "/>
    <numFmt numFmtId="176" formatCode="_ [$₹-4009]\ * #,##0_ ;_ [$₹-4009]\ * \-#,##0_ ;_ [$₹-4009]\ * &quot;-&quot;_ ;_ @_ "/>
  </numFmts>
  <fonts count="2" x14ac:knownFonts="1">
    <font>
      <sz val="11"/>
      <color theme="1"/>
      <name val="Calibri"/>
      <family val="2"/>
      <scheme val="minor"/>
    </font>
    <font>
      <sz val="11"/>
      <color theme="0"/>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7">
    <xf numFmtId="0" fontId="0" fillId="0" borderId="0" xfId="0"/>
    <xf numFmtId="0" fontId="0" fillId="0" borderId="1" xfId="0" applyBorder="1"/>
    <xf numFmtId="0" fontId="0" fillId="0" borderId="1" xfId="0" applyNumberFormat="1" applyBorder="1"/>
    <xf numFmtId="14" fontId="0" fillId="0" borderId="1" xfId="0" applyNumberFormat="1" applyBorder="1"/>
    <xf numFmtId="0" fontId="0" fillId="0" borderId="0" xfId="0" pivotButton="1"/>
    <xf numFmtId="0" fontId="0" fillId="0" borderId="0" xfId="0" applyAlignment="1">
      <alignment horizontal="left"/>
    </xf>
    <xf numFmtId="0" fontId="1" fillId="0" borderId="0" xfId="0" applyFont="1"/>
    <xf numFmtId="165" fontId="1" fillId="0" borderId="0" xfId="0" applyNumberFormat="1" applyFont="1"/>
    <xf numFmtId="0" fontId="0" fillId="0" borderId="2" xfId="0" applyBorder="1"/>
    <xf numFmtId="0" fontId="0" fillId="0" borderId="2" xfId="0" applyNumberFormat="1" applyBorder="1"/>
    <xf numFmtId="14" fontId="0" fillId="0" borderId="2" xfId="0" applyNumberFormat="1" applyBorder="1"/>
    <xf numFmtId="164" fontId="0" fillId="0" borderId="2" xfId="0" applyNumberFormat="1" applyBorder="1"/>
    <xf numFmtId="42" fontId="0" fillId="0" borderId="0" xfId="0" applyNumberFormat="1"/>
    <xf numFmtId="42" fontId="0" fillId="0" borderId="0" xfId="0" pivotButton="1" applyNumberFormat="1"/>
    <xf numFmtId="42" fontId="0" fillId="0" borderId="0" xfId="0" applyNumberFormat="1" applyAlignment="1">
      <alignment horizontal="left"/>
    </xf>
    <xf numFmtId="42" fontId="0" fillId="0" borderId="0" xfId="0" applyNumberFormat="1" applyAlignment="1">
      <alignment horizontal="left" indent="1"/>
    </xf>
    <xf numFmtId="176" fontId="0" fillId="0" borderId="0" xfId="0" applyNumberFormat="1"/>
  </cellXfs>
  <cellStyles count="1">
    <cellStyle name="Normal" xfId="0" builtinId="0"/>
  </cellStyles>
  <dxfs count="699">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164" formatCode="_ [$₹-4009]\ * #,##0.00_ ;_ [$₹-4009]\ * \-#,##0.00_ ;_ [$₹-4009]\ * &quot;-&quot;??_ ;_ @_ "/>
    </dxf>
    <dxf>
      <numFmt numFmtId="176" formatCode="_ [$₹-4009]\ * #,##0_ ;_ [$₹-4009]\ * \-#,##0_ ;_ [$₹-4009]\ * &quot;-&quot;_ ;_ @_ "/>
    </dxf>
    <dxf>
      <numFmt numFmtId="164" formatCode="_ [$₹-4009]\ * #,##0.00_ ;_ [$₹-4009]\ * \-#,##0.00_ ;_ [$₹-4009]\ * &quot;-&quot;??_ ;_ @_ "/>
    </dxf>
    <dxf>
      <numFmt numFmtId="164" formatCode="_ [$₹-4009]\ * #,##0.00_ ;_ [$₹-4009]\ * \-#,##0.00_ ;_ [$₹-4009]\ * &quot;-&quot;??_ ;_ @_ "/>
    </dxf>
    <dxf>
      <numFmt numFmtId="176" formatCode="_ [$₹-4009]\ * #,##0_ ;_ [$₹-4009]\ * \-#,##0_ ;_ [$₹-4009]\ * &quot;-&quot;_ ;_ @_ "/>
    </dxf>
    <dxf>
      <numFmt numFmtId="164" formatCode="_ [$₹-4009]\ * #,##0.00_ ;_ [$₹-4009]\ * \-#,##0.00_ ;_ [$₹-4009]\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2"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170" formatCode="_-[$$-409]* #,##0.00_ ;_-[$$-409]* \-#,##0.00\ ;_-[$$-409]* &quot;-&quot;??_ ;_-@_ "/>
    </dxf>
    <dxf>
      <numFmt numFmtId="175" formatCode="_-[$$-409]* #,##0_ ;_-[$$-409]* \-#,##0\ ;_-[$$-409]* &quot;-&quot;_ ;_-@_ "/>
    </dxf>
    <dxf>
      <numFmt numFmtId="170" formatCode="_-[$$-409]* #,##0.00_ ;_-[$$-409]* \-#,##0.00\ ;_-[$$-409]* &quot;-&quot;??_ ;_-@_ "/>
    </dxf>
    <dxf>
      <numFmt numFmtId="175" formatCode="_-[$$-409]* #,##0_ ;_-[$$-409]* \-#,##0\ ;_-[$$-409]* &quot;-&quot;_ ;_-@_ "/>
    </dxf>
    <dxf>
      <numFmt numFmtId="170" formatCode="_-[$$-409]* #,##0.00_ ;_-[$$-409]* \-#,##0.00\ ;_-[$$-409]* &quot;-&quot;??_ ;_-@_ "/>
    </dxf>
    <dxf>
      <numFmt numFmtId="175" formatCode="_-[$$-409]* #,##0_ ;_-[$$-409]* \-#,##0\ ;_-[$$-409]* &quot;-&quot;_ ;_-@_ "/>
    </dxf>
    <dxf>
      <numFmt numFmtId="175" formatCode="_-[$$-409]* #,##0_ ;_-[$$-409]* \-#,##0\ ;_-[$$-409]* &quot;-&quot;_ ;_-@_ "/>
    </dxf>
    <dxf>
      <numFmt numFmtId="175" formatCode="_-[$$-409]* #,##0_ ;_-[$$-409]* \-#,##0\ ;_-[$$-409]* &quot;-&quot;_ ;_-@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170" formatCode="_-[$$-409]* #,##0.00_ ;_-[$$-409]* \-#,##0.00\ ;_-[$$-409]* &quot;-&quot;??_ ;_-@_ "/>
    </dxf>
    <dxf>
      <numFmt numFmtId="175" formatCode="_-[$$-409]* #,##0_ ;_-[$$-409]* \-#,##0\ ;_-[$$-409]* &quot;-&quot;_ ;_-@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170" formatCode="_-[$$-409]* #,##0.00_ ;_-[$$-409]* \-#,##0.00\ ;_-[$$-409]* &quot;-&quot;??_ ;_-@_ "/>
    </dxf>
    <dxf>
      <numFmt numFmtId="175" formatCode="_-[$$-409]* #,##0_ ;_-[$$-409]* \-#,##0\ ;_-[$$-409]* &quot;-&quot;_ ;_-@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170" formatCode="_-[$$-409]* #,##0.00_ ;_-[$$-409]* \-#,##0.00\ ;_-[$$-409]* &quot;-&quot;??_ ;_-@_ "/>
    </dxf>
    <dxf>
      <numFmt numFmtId="175" formatCode="_-[$$-409]* #,##0_ ;_-[$$-409]* \-#,##0\ ;_-[$$-409]* &quot;-&quot;_ ;_-@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170" formatCode="_-[$$-409]* #,##0.00_ ;_-[$$-409]* \-#,##0.00\ ;_-[$$-409]* &quot;-&quot;??_ ;_-@_ "/>
    </dxf>
    <dxf>
      <numFmt numFmtId="175" formatCode="_-[$$-409]* #,##0_ ;_-[$$-409]* \-#,##0\ ;_-[$$-409]* &quot;-&quot;_ ;_-@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170" formatCode="_-[$$-409]* #,##0.00_ ;_-[$$-409]* \-#,##0.00\ ;_-[$$-409]* &quot;-&quot;??_ ;_-@_ "/>
    </dxf>
    <dxf>
      <numFmt numFmtId="175" formatCode="_-[$$-409]* #,##0_ ;_-[$$-409]* \-#,##0\ ;_-[$$-409]* &quot;-&quot;_ ;_-@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170" formatCode="_-[$$-409]* #,##0.00_ ;_-[$$-409]* \-#,##0.00\ ;_-[$$-409]* &quot;-&quot;??_ ;_-@_ "/>
    </dxf>
    <dxf>
      <numFmt numFmtId="175" formatCode="_-[$$-409]* #,##0_ ;_-[$$-409]* \-#,##0\ ;_-[$$-409]* &quot;-&quot;_ ;_-@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170" formatCode="_-[$$-409]* #,##0.00_ ;_-[$$-409]* \-#,##0.00\ ;_-[$$-409]* &quot;-&quot;??_ ;_-@_ "/>
    </dxf>
    <dxf>
      <numFmt numFmtId="175" formatCode="_-[$$-409]* #,##0_ ;_-[$$-409]* \-#,##0\ ;_-[$$-409]* &quot;-&quot;_ ;_-@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170" formatCode="_-[$$-409]* #,##0.00_ ;_-[$$-409]* \-#,##0.00\ ;_-[$$-409]* &quot;-&quot;??_ ;_-@_ "/>
    </dxf>
    <dxf>
      <numFmt numFmtId="175" formatCode="_-[$$-409]* #,##0_ ;_-[$$-409]* \-#,##0\ ;_-[$$-409]* &quot;-&quot;_ ;_-@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170" formatCode="_-[$$-409]* #,##0.00_ ;_-[$$-409]* \-#,##0.00\ ;_-[$$-409]* &quot;-&quot;??_ ;_-@_ "/>
    </dxf>
    <dxf>
      <numFmt numFmtId="175" formatCode="_-[$$-409]* #,##0_ ;_-[$$-409]* \-#,##0\ ;_-[$$-409]* &quot;-&quot;_ ;_-@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170" formatCode="_-[$$-409]* #,##0.00_ ;_-[$$-409]* \-#,##0.00\ ;_-[$$-409]* &quot;-&quot;??_ ;_-@_ "/>
    </dxf>
    <dxf>
      <numFmt numFmtId="175" formatCode="_-[$$-409]* #,##0_ ;_-[$$-409]* \-#,##0\ ;_-[$$-409]* &quot;-&quot;_ ;_-@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170" formatCode="_-[$$-409]* #,##0.00_ ;_-[$$-409]* \-#,##0.00\ ;_-[$$-409]* &quot;-&quot;??_ ;_-@_ "/>
    </dxf>
    <dxf>
      <numFmt numFmtId="175" formatCode="_-[$$-409]* #,##0_ ;_-[$$-409]* \-#,##0\ ;_-[$$-409]* &quot;-&quot;_ ;_-@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170" formatCode="_-[$$-409]* #,##0.00_ ;_-[$$-409]* \-#,##0.00\ ;_-[$$-409]* &quot;-&quot;??_ ;_-@_ "/>
    </dxf>
    <dxf>
      <numFmt numFmtId="175" formatCode="_-[$$-409]* #,##0_ ;_-[$$-409]* \-#,##0\ ;_-[$$-409]* &quot;-&quot;_ ;_-@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170" formatCode="_-[$$-409]* #,##0.00_ ;_-[$$-409]* \-#,##0.00\ ;_-[$$-409]* &quot;-&quot;??_ ;_-@_ "/>
    </dxf>
    <dxf>
      <numFmt numFmtId="175" formatCode="_-[$$-409]* #,##0_ ;_-[$$-409]* \-#,##0\ ;_-[$$-409]* &quot;-&quot;_ ;_-@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170" formatCode="_-[$$-409]* #,##0.00_ ;_-[$$-409]* \-#,##0.00\ ;_-[$$-409]* &quot;-&quot;??_ ;_-@_ "/>
    </dxf>
    <dxf>
      <numFmt numFmtId="175" formatCode="_-[$$-409]* #,##0_ ;_-[$$-409]* \-#,##0\ ;_-[$$-409]* &quot;-&quot;_ ;_-@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170" formatCode="_-[$$-409]* #,##0.00_ ;_-[$$-409]* \-#,##0.00\ ;_-[$$-409]* &quot;-&quot;??_ ;_-@_ "/>
    </dxf>
    <dxf>
      <numFmt numFmtId="175" formatCode="_-[$$-409]* #,##0_ ;_-[$$-409]* \-#,##0\ ;_-[$$-409]* &quot;-&quot;_ ;_-@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170" formatCode="_-[$$-409]* #,##0.00_ ;_-[$$-409]* \-#,##0.00\ ;_-[$$-409]* &quot;-&quot;??_ ;_-@_ "/>
    </dxf>
    <dxf>
      <numFmt numFmtId="175" formatCode="_-[$$-409]* #,##0_ ;_-[$$-409]* \-#,##0\ ;_-[$$-409]* &quot;-&quot;_ ;_-@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170" formatCode="_-[$$-409]* #,##0.00_ ;_-[$$-409]* \-#,##0.00\ ;_-[$$-409]* &quot;-&quot;??_ ;_-@_ "/>
    </dxf>
    <dxf>
      <numFmt numFmtId="175" formatCode="_-[$$-409]* #,##0_ ;_-[$$-409]* \-#,##0\ ;_-[$$-409]* &quot;-&quot;_ ;_-@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170" formatCode="_-[$$-409]* #,##0.00_ ;_-[$$-409]* \-#,##0.00\ ;_-[$$-409]* &quot;-&quot;??_ ;_-@_ "/>
    </dxf>
    <dxf>
      <numFmt numFmtId="175" formatCode="_-[$$-409]* #,##0_ ;_-[$$-409]* \-#,##0\ ;_-[$$-409]* &quot;-&quot;_ ;_-@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170" formatCode="_-[$$-409]* #,##0.00_ ;_-[$$-409]* \-#,##0.00\ ;_-[$$-409]* &quot;-&quot;??_ ;_-@_ "/>
    </dxf>
    <dxf>
      <numFmt numFmtId="175" formatCode="_-[$$-409]* #,##0_ ;_-[$$-409]* \-#,##0\ ;_-[$$-409]* &quot;-&quot;_ ;_-@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170" formatCode="_-[$$-409]* #,##0.00_ ;_-[$$-409]* \-#,##0.00\ ;_-[$$-409]* &quot;-&quot;??_ ;_-@_ "/>
    </dxf>
    <dxf>
      <numFmt numFmtId="175" formatCode="_-[$$-409]* #,##0_ ;_-[$$-409]* \-#,##0\ ;_-[$$-409]* &quot;-&quot;_ ;_-@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170" formatCode="_-[$$-409]* #,##0.00_ ;_-[$$-409]* \-#,##0.00\ ;_-[$$-409]* &quot;-&quot;??_ ;_-@_ "/>
    </dxf>
    <dxf>
      <numFmt numFmtId="175" formatCode="_-[$$-409]* #,##0_ ;_-[$$-409]* \-#,##0\ ;_-[$$-409]* &quot;-&quot;_ ;_-@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170" formatCode="_-[$$-409]* #,##0.00_ ;_-[$$-409]* \-#,##0.00\ ;_-[$$-409]* &quot;-&quot;??_ ;_-@_ "/>
    </dxf>
    <dxf>
      <numFmt numFmtId="175" formatCode="_-[$$-409]* #,##0_ ;_-[$$-409]* \-#,##0\ ;_-[$$-409]* &quot;-&quot;_ ;_-@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170" formatCode="_-[$$-409]* #,##0.00_ ;_-[$$-409]* \-#,##0.00\ ;_-[$$-409]* &quot;-&quot;??_ ;_-@_ "/>
    </dxf>
    <dxf>
      <numFmt numFmtId="175" formatCode="_-[$$-409]* #,##0_ ;_-[$$-409]* \-#,##0\ ;_-[$$-409]* &quot;-&quot;_ ;_-@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170" formatCode="_-[$$-409]* #,##0.00_ ;_-[$$-409]* \-#,##0.00\ ;_-[$$-409]* &quot;-&quot;??_ ;_-@_ "/>
    </dxf>
    <dxf>
      <numFmt numFmtId="175" formatCode="_-[$$-409]* #,##0_ ;_-[$$-409]* \-#,##0\ ;_-[$$-409]* &quot;-&quot;_ ;_-@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170" formatCode="_-[$$-409]* #,##0.00_ ;_-[$$-409]* \-#,##0.00\ ;_-[$$-409]* &quot;-&quot;??_ ;_-@_ "/>
    </dxf>
    <dxf>
      <numFmt numFmtId="175" formatCode="_-[$$-409]* #,##0_ ;_-[$$-409]* \-#,##0\ ;_-[$$-409]* &quot;-&quot;_ ;_-@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170" formatCode="_-[$$-409]* #,##0.00_ ;_-[$$-409]* \-#,##0.00\ ;_-[$$-409]* &quot;-&quot;??_ ;_-@_ "/>
    </dxf>
    <dxf>
      <numFmt numFmtId="175" formatCode="_-[$$-409]* #,##0_ ;_-[$$-409]* \-#,##0\ ;_-[$$-409]* &quot;-&quot;_ ;_-@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170" formatCode="_-[$$-409]* #,##0.00_ ;_-[$$-409]* \-#,##0.00\ ;_-[$$-409]* &quot;-&quot;??_ ;_-@_ "/>
    </dxf>
    <dxf>
      <numFmt numFmtId="175" formatCode="_-[$$-409]* #,##0_ ;_-[$$-409]* \-#,##0\ ;_-[$$-409]* &quot;-&quot;_ ;_-@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170" formatCode="_-[$$-409]* #,##0.00_ ;_-[$$-409]* \-#,##0.00\ ;_-[$$-409]* &quot;-&quot;??_ ;_-@_ "/>
    </dxf>
    <dxf>
      <numFmt numFmtId="175" formatCode="_-[$$-409]* #,##0_ ;_-[$$-409]* \-#,##0\ ;_-[$$-409]* &quot;-&quot;_ ;_-@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170" formatCode="_-[$$-409]* #,##0.00_ ;_-[$$-409]* \-#,##0.00\ ;_-[$$-409]* &quot;-&quot;??_ ;_-@_ "/>
    </dxf>
    <dxf>
      <numFmt numFmtId="175" formatCode="_-[$$-409]* #,##0_ ;_-[$$-409]* \-#,##0\ ;_-[$$-409]* &quot;-&quot;_ ;_-@_ "/>
    </dxf>
    <dxf>
      <numFmt numFmtId="170" formatCode="_-[$$-409]* #,##0.00_ ;_-[$$-409]* \-#,##0.00\ ;_-[$$-409]* &quot;-&quot;??_ ;_-@_ "/>
    </dxf>
    <dxf>
      <numFmt numFmtId="175" formatCode="_-[$$-409]* #,##0_ ;_-[$$-409]* \-#,##0\ ;_-[$$-409]* &quot;-&quot;_ ;_-@_ "/>
    </dxf>
    <dxf>
      <numFmt numFmtId="170" formatCode="_-[$$-409]* #,##0.00_ ;_-[$$-409]* \-#,##0.00\ ;_-[$$-409]* &quot;-&quot;??_ ;_-@_ "/>
    </dxf>
    <dxf>
      <numFmt numFmtId="175" formatCode="_-[$$-409]* #,##0_ ;_-[$$-409]* \-#,##0\ ;_-[$$-409]* &quot;-&quot;_ ;_-@_ "/>
    </dxf>
    <dxf>
      <numFmt numFmtId="170" formatCode="_-[$$-409]* #,##0.00_ ;_-[$$-409]* \-#,##0.00\ ;_-[$$-409]* &quot;-&quot;??_ ;_-@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170" formatCode="_-[$$-409]* #,##0.00_ ;_-[$$-409]* \-#,##0.00\ ;_-[$$-409]* &quot;-&quot;??_ ;_-@_ "/>
    </dxf>
    <dxf>
      <numFmt numFmtId="170" formatCode="_-[$$-409]* #,##0.00_ ;_-[$$-409]* \-#,##0.00\ ;_-[$$-409]* &quot;-&quot;??_ ;_-@_ "/>
    </dxf>
    <dxf>
      <numFmt numFmtId="170" formatCode="_-[$$-409]* #,##0.00_ ;_-[$$-409]* \-#,##0.00\ ;_-[$$-409]* &quot;-&quot;??_ ;_-@_ "/>
    </dxf>
    <dxf>
      <numFmt numFmtId="32" formatCode="_ &quot;₹&quot;\ * #,##0_ ;_ &quot;₹&quot;\ * \-#,##0_ ;_ &quot;₹&quot;\ * &quot;-&quot;_ ;_ @_ "/>
    </dxf>
    <dxf>
      <numFmt numFmtId="32"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170" formatCode="_-[$$-409]* #,##0.00_ ;_-[$$-409]* \-#,##0.00\ ;_-[$$-409]* &quot;-&quot;??_ ;_-@_ "/>
    </dxf>
    <dxf>
      <numFmt numFmtId="170" formatCode="_-[$$-409]* #,##0.00_ ;_-[$$-409]* \-#,##0.00\ ;_-[$$-409]* &quot;-&quot;??_ ;_-@_ "/>
    </dxf>
    <dxf>
      <numFmt numFmtId="170" formatCode="_-[$$-409]* #,##0.00_ ;_-[$$-409]* \-#,##0.00\ ;_-[$$-409]* &quot;-&quot;??_ ;_-@_ "/>
    </dxf>
    <dxf>
      <numFmt numFmtId="171" formatCode="_-[$$-409]* #,##0.0_ ;_-[$$-409]* \-#,##0.0\ ;_-[$$-409]* &quot;-&quot;??_ ;_-@_ "/>
    </dxf>
    <dxf>
      <numFmt numFmtId="171" formatCode="_-[$$-409]* #,##0.0_ ;_-[$$-409]* \-#,##0.0\ ;_-[$$-409]* &quot;-&quot;??_ ;_-@_ "/>
    </dxf>
    <dxf>
      <numFmt numFmtId="172" formatCode="_-[$$-409]* #,##0_ ;_-[$$-409]* \-#,##0\ ;_-[$$-409]* &quot;-&quot;??_ ;_-@_ "/>
    </dxf>
    <dxf>
      <numFmt numFmtId="172" formatCode="_-[$$-409]* #,##0_ ;_-[$$-409]* \-#,##0\ ;_-[$$-409]* &quot;-&quot;??_ ;_-@_ "/>
    </dxf>
    <dxf>
      <numFmt numFmtId="171" formatCode="_-[$$-409]* #,##0.0_ ;_-[$$-409]* \-#,##0.0\ ;_-[$$-409]* &quot;-&quot;??_ ;_-@_ "/>
    </dxf>
    <dxf>
      <numFmt numFmtId="171" formatCode="_-[$$-409]* #,##0.0_ ;_-[$$-409]* \-#,##0.0\ ;_-[$$-409]* &quot;-&quot;??_ ;_-@_ "/>
    </dxf>
    <dxf>
      <numFmt numFmtId="170" formatCode="_-[$$-409]* #,##0.00_ ;_-[$$-409]* \-#,##0.00\ ;_-[$$-409]* &quot;-&quot;??_ ;_-@_ "/>
    </dxf>
    <dxf>
      <numFmt numFmtId="170" formatCode="_-[$$-409]* #,##0.00_ ;_-[$$-409]* \-#,##0.00\ ;_-[$$-409]* &quot;-&quot;??_ ;_-@_ "/>
    </dxf>
    <dxf>
      <numFmt numFmtId="170" formatCode="_-[$$-409]* #,##0.00_ ;_-[$$-409]* \-#,##0.00\ ;_-[$$-409]* &quot;-&quot;??_ ;_-@_ "/>
    </dxf>
    <dxf>
      <numFmt numFmtId="170" formatCode="_-[$$-409]* #,##0.00_ ;_-[$$-409]* \-#,##0.00\ ;_-[$$-409]* &quot;-&quot;??_ ;_-@_ "/>
    </dxf>
    <dxf>
      <numFmt numFmtId="170" formatCode="_-[$$-409]* #,##0.00_ ;_-[$$-409]* \-#,##0.00\ ;_-[$$-409]* &quot;-&quot;??_ ;_-@_ "/>
    </dxf>
    <dxf>
      <numFmt numFmtId="170" formatCode="_-[$$-409]* #,##0.00_ ;_-[$$-409]* \-#,##0.00\ ;_-[$$-409]* &quot;-&quot;??_ ;_-@_ "/>
    </dxf>
    <dxf>
      <numFmt numFmtId="170" formatCode="_-[$$-409]* #,##0.00_ ;_-[$$-409]* \-#,##0.00\ ;_-[$$-409]* &quot;-&quot;??_ ;_-@_ "/>
    </dxf>
    <dxf>
      <numFmt numFmtId="34" formatCode="_ &quot;₹&quot;\ * #,##0.00_ ;_ &quot;₹&quot;\ * \-#,##0.00_ ;_ &quot;₹&quot;\ * &quot;-&quot;??_ ;_ @_ "/>
    </dxf>
    <dxf>
      <numFmt numFmtId="34" formatCode="_ &quot;₹&quot;\ * #,##0.00_ ;_ &quot;₹&quot;\ * \-#,##0.00_ ;_ &quot;₹&quot;\ * &quot;-&quot;??_ ;_ @_ "/>
    </dxf>
    <dxf>
      <numFmt numFmtId="164" formatCode="_ [$₹-4009]\ * #,##0.00_ ;_ [$₹-4009]\ * \-#,##0.00_ ;_ [$₹-4009]\ * &quot;-&quot;??_ ;_ @_ "/>
    </dxf>
    <dxf>
      <numFmt numFmtId="164" formatCode="_ [$₹-4009]\ * #,##0.00_ ;_ [$₹-4009]\ * \-#,##0.00_ ;_ [$₹-4009]\ * &quot;-&quot;??_ ;_ @_ "/>
    </dxf>
    <dxf>
      <numFmt numFmtId="34" formatCode="_ &quot;₹&quot;\ * #,##0.00_ ;_ &quot;₹&quot;\ * \-#,##0.00_ ;_ &quot;₹&quot;\ * &quot;-&quot;??_ ;_ @_ "/>
    </dxf>
    <dxf>
      <numFmt numFmtId="34" formatCode="_ &quot;₹&quot;\ * #,##0.00_ ;_ &quot;₹&quot;\ * \-#,##0.00_ ;_ &quot;₹&quot;\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numFmt numFmtId="0" formatCode="General"/>
      <border diagonalUp="0" diagonalDown="0" outline="0">
        <left style="thin">
          <color indexed="64"/>
        </left>
        <right style="thin">
          <color indexed="64"/>
        </right>
        <top style="thin">
          <color indexed="64"/>
        </top>
        <bottom/>
      </border>
    </dxf>
    <dxf>
      <numFmt numFmtId="0" formatCode="General"/>
      <border diagonalUp="0" diagonalDown="0" outline="0">
        <left style="thin">
          <color indexed="64"/>
        </left>
        <right style="thin">
          <color indexed="64"/>
        </right>
        <top style="thin">
          <color indexed="64"/>
        </top>
        <bottom/>
      </border>
    </dxf>
    <dxf>
      <numFmt numFmtId="19" formatCode="dd/mm/yyyy"/>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numFmt numFmtId="0" formatCode="General"/>
      <border diagonalUp="0" diagonalDown="0" outline="0">
        <left style="thin">
          <color indexed="64"/>
        </left>
        <right style="thin">
          <color indexed="64"/>
        </right>
        <top style="thin">
          <color indexed="64"/>
        </top>
        <bottom/>
      </border>
    </dxf>
    <dxf>
      <numFmt numFmtId="0" formatCode="General"/>
      <border diagonalUp="0" diagonalDown="0" outline="0">
        <left style="thin">
          <color indexed="64"/>
        </left>
        <right style="thin">
          <color indexed="64"/>
        </right>
        <top style="thin">
          <color indexed="64"/>
        </top>
        <bottom/>
      </border>
    </dxf>
    <dxf>
      <numFmt numFmtId="0" formatCode="General"/>
      <border diagonalUp="0" diagonalDown="0" outline="0">
        <left style="thin">
          <color indexed="64"/>
        </left>
        <right style="thin">
          <color indexed="64"/>
        </right>
        <top style="thin">
          <color indexed="64"/>
        </top>
        <bottom/>
      </border>
    </dxf>
    <dxf>
      <numFmt numFmtId="0" formatCode="General"/>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2.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[Portfolio1.xlsx]Sheet2!PivotTable2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latin typeface="Times New Roman" panose="02020603050405020304" pitchFamily="18" charset="0"/>
                <a:cs typeface="Times New Roman" panose="02020603050405020304" pitchFamily="18" charset="0"/>
              </a:rPr>
              <a:t>Revenue</a:t>
            </a:r>
            <a:r>
              <a:rPr lang="en-IN" baseline="0">
                <a:solidFill>
                  <a:schemeClr val="tx1"/>
                </a:solidFill>
                <a:latin typeface="Times New Roman" panose="02020603050405020304" pitchFamily="18" charset="0"/>
                <a:cs typeface="Times New Roman" panose="02020603050405020304" pitchFamily="18" charset="0"/>
              </a:rPr>
              <a:t> by Product Line, Gender and Sales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Sheet2!$B$9:$B$10</c:f>
              <c:strCache>
                <c:ptCount val="1"/>
                <c:pt idx="0">
                  <c:v>Basketball</c:v>
                </c:pt>
              </c:strCache>
            </c:strRef>
          </c:tx>
          <c:spPr>
            <a:solidFill>
              <a:schemeClr val="accent1"/>
            </a:solidFill>
            <a:ln>
              <a:noFill/>
            </a:ln>
            <a:effectLst/>
          </c:spPr>
          <c:invertIfNegative val="0"/>
          <c:cat>
            <c:multiLvlStrRef>
              <c:f>Sheet2!$A$11:$A$20</c:f>
              <c:multiLvlStrCache>
                <c:ptCount val="6"/>
                <c:lvl>
                  <c:pt idx="0">
                    <c:v>Online</c:v>
                  </c:pt>
                  <c:pt idx="1">
                    <c:v>Retail</c:v>
                  </c:pt>
                  <c:pt idx="2">
                    <c:v>Online</c:v>
                  </c:pt>
                  <c:pt idx="3">
                    <c:v>Retail</c:v>
                  </c:pt>
                  <c:pt idx="4">
                    <c:v>Online</c:v>
                  </c:pt>
                  <c:pt idx="5">
                    <c:v>Retail</c:v>
                  </c:pt>
                </c:lvl>
                <c:lvl>
                  <c:pt idx="0">
                    <c:v>Kids</c:v>
                  </c:pt>
                  <c:pt idx="2">
                    <c:v>Men</c:v>
                  </c:pt>
                  <c:pt idx="4">
                    <c:v>Women</c:v>
                  </c:pt>
                </c:lvl>
              </c:multiLvlStrCache>
            </c:multiLvlStrRef>
          </c:cat>
          <c:val>
            <c:numRef>
              <c:f>Sheet2!$B$11:$B$20</c:f>
              <c:numCache>
                <c:formatCode>_("₹"* #,##0_);_("₹"* \(#,##0\);_("₹"* "-"_);_(@_)</c:formatCode>
                <c:ptCount val="6"/>
                <c:pt idx="0">
                  <c:v>4530.7</c:v>
                </c:pt>
                <c:pt idx="1">
                  <c:v>9609.82</c:v>
                </c:pt>
                <c:pt idx="2">
                  <c:v>32352.89</c:v>
                </c:pt>
                <c:pt idx="3">
                  <c:v>47227.61</c:v>
                </c:pt>
                <c:pt idx="4">
                  <c:v>60631.5</c:v>
                </c:pt>
                <c:pt idx="5">
                  <c:v>15101.060000000001</c:v>
                </c:pt>
              </c:numCache>
            </c:numRef>
          </c:val>
          <c:extLst>
            <c:ext xmlns:c16="http://schemas.microsoft.com/office/drawing/2014/chart" uri="{C3380CC4-5D6E-409C-BE32-E72D297353CC}">
              <c16:uniqueId val="{00000000-EB5D-43B8-B324-83DADAFD5260}"/>
            </c:ext>
          </c:extLst>
        </c:ser>
        <c:ser>
          <c:idx val="1"/>
          <c:order val="1"/>
          <c:tx>
            <c:strRef>
              <c:f>Sheet2!$C$9:$C$10</c:f>
              <c:strCache>
                <c:ptCount val="1"/>
                <c:pt idx="0">
                  <c:v>Lifestyle</c:v>
                </c:pt>
              </c:strCache>
            </c:strRef>
          </c:tx>
          <c:spPr>
            <a:solidFill>
              <a:schemeClr val="accent1">
                <a:lumMod val="75000"/>
              </a:schemeClr>
            </a:solidFill>
            <a:ln>
              <a:noFill/>
            </a:ln>
            <a:effectLst/>
          </c:spPr>
          <c:invertIfNegative val="0"/>
          <c:cat>
            <c:multiLvlStrRef>
              <c:f>Sheet2!$A$11:$A$20</c:f>
              <c:multiLvlStrCache>
                <c:ptCount val="6"/>
                <c:lvl>
                  <c:pt idx="0">
                    <c:v>Online</c:v>
                  </c:pt>
                  <c:pt idx="1">
                    <c:v>Retail</c:v>
                  </c:pt>
                  <c:pt idx="2">
                    <c:v>Online</c:v>
                  </c:pt>
                  <c:pt idx="3">
                    <c:v>Retail</c:v>
                  </c:pt>
                  <c:pt idx="4">
                    <c:v>Online</c:v>
                  </c:pt>
                  <c:pt idx="5">
                    <c:v>Retail</c:v>
                  </c:pt>
                </c:lvl>
                <c:lvl>
                  <c:pt idx="0">
                    <c:v>Kids</c:v>
                  </c:pt>
                  <c:pt idx="2">
                    <c:v>Men</c:v>
                  </c:pt>
                  <c:pt idx="4">
                    <c:v>Women</c:v>
                  </c:pt>
                </c:lvl>
              </c:multiLvlStrCache>
            </c:multiLvlStrRef>
          </c:cat>
          <c:val>
            <c:numRef>
              <c:f>Sheet2!$C$11:$C$20</c:f>
              <c:numCache>
                <c:formatCode>_("₹"* #,##0_);_("₹"* \(#,##0\);_("₹"* "-"_);_(@_)</c:formatCode>
                <c:ptCount val="6"/>
                <c:pt idx="0">
                  <c:v>29789.199999999997</c:v>
                </c:pt>
                <c:pt idx="1">
                  <c:v>41923.82</c:v>
                </c:pt>
                <c:pt idx="2">
                  <c:v>35263.599999999999</c:v>
                </c:pt>
                <c:pt idx="3">
                  <c:v>26392.080000000002</c:v>
                </c:pt>
                <c:pt idx="5">
                  <c:v>32040.760000000002</c:v>
                </c:pt>
              </c:numCache>
            </c:numRef>
          </c:val>
          <c:extLst>
            <c:ext xmlns:c16="http://schemas.microsoft.com/office/drawing/2014/chart" uri="{C3380CC4-5D6E-409C-BE32-E72D297353CC}">
              <c16:uniqueId val="{0000000C-EB5D-43B8-B324-83DADAFD5260}"/>
            </c:ext>
          </c:extLst>
        </c:ser>
        <c:ser>
          <c:idx val="2"/>
          <c:order val="2"/>
          <c:tx>
            <c:strRef>
              <c:f>Sheet2!$D$9:$D$10</c:f>
              <c:strCache>
                <c:ptCount val="1"/>
                <c:pt idx="0">
                  <c:v>Running</c:v>
                </c:pt>
              </c:strCache>
            </c:strRef>
          </c:tx>
          <c:spPr>
            <a:solidFill>
              <a:schemeClr val="accent1">
                <a:lumMod val="60000"/>
                <a:lumOff val="40000"/>
              </a:schemeClr>
            </a:solidFill>
            <a:ln>
              <a:noFill/>
            </a:ln>
            <a:effectLst/>
          </c:spPr>
          <c:invertIfNegative val="0"/>
          <c:cat>
            <c:multiLvlStrRef>
              <c:f>Sheet2!$A$11:$A$20</c:f>
              <c:multiLvlStrCache>
                <c:ptCount val="6"/>
                <c:lvl>
                  <c:pt idx="0">
                    <c:v>Online</c:v>
                  </c:pt>
                  <c:pt idx="1">
                    <c:v>Retail</c:v>
                  </c:pt>
                  <c:pt idx="2">
                    <c:v>Online</c:v>
                  </c:pt>
                  <c:pt idx="3">
                    <c:v>Retail</c:v>
                  </c:pt>
                  <c:pt idx="4">
                    <c:v>Online</c:v>
                  </c:pt>
                  <c:pt idx="5">
                    <c:v>Retail</c:v>
                  </c:pt>
                </c:lvl>
                <c:lvl>
                  <c:pt idx="0">
                    <c:v>Kids</c:v>
                  </c:pt>
                  <c:pt idx="2">
                    <c:v>Men</c:v>
                  </c:pt>
                  <c:pt idx="4">
                    <c:v>Women</c:v>
                  </c:pt>
                </c:lvl>
              </c:multiLvlStrCache>
            </c:multiLvlStrRef>
          </c:cat>
          <c:val>
            <c:numRef>
              <c:f>Sheet2!$D$11:$D$20</c:f>
              <c:numCache>
                <c:formatCode>_("₹"* #,##0_);_("₹"* \(#,##0\);_("₹"* "-"_);_(@_)</c:formatCode>
                <c:ptCount val="6"/>
                <c:pt idx="0">
                  <c:v>52307.399999999994</c:v>
                </c:pt>
                <c:pt idx="1">
                  <c:v>17666.100000000002</c:v>
                </c:pt>
                <c:pt idx="2">
                  <c:v>12681.49</c:v>
                </c:pt>
                <c:pt idx="3">
                  <c:v>5697.66</c:v>
                </c:pt>
                <c:pt idx="5">
                  <c:v>6257.1</c:v>
                </c:pt>
              </c:numCache>
            </c:numRef>
          </c:val>
          <c:extLst>
            <c:ext xmlns:c16="http://schemas.microsoft.com/office/drawing/2014/chart" uri="{C3380CC4-5D6E-409C-BE32-E72D297353CC}">
              <c16:uniqueId val="{0000000D-EB5D-43B8-B324-83DADAFD5260}"/>
            </c:ext>
          </c:extLst>
        </c:ser>
        <c:ser>
          <c:idx val="3"/>
          <c:order val="3"/>
          <c:tx>
            <c:strRef>
              <c:f>Sheet2!$E$9:$E$10</c:f>
              <c:strCache>
                <c:ptCount val="1"/>
                <c:pt idx="0">
                  <c:v>Soccer</c:v>
                </c:pt>
              </c:strCache>
            </c:strRef>
          </c:tx>
          <c:spPr>
            <a:solidFill>
              <a:schemeClr val="accent1">
                <a:lumMod val="75000"/>
              </a:schemeClr>
            </a:solidFill>
            <a:ln>
              <a:noFill/>
            </a:ln>
            <a:effectLst/>
          </c:spPr>
          <c:invertIfNegative val="0"/>
          <c:cat>
            <c:multiLvlStrRef>
              <c:f>Sheet2!$A$11:$A$20</c:f>
              <c:multiLvlStrCache>
                <c:ptCount val="6"/>
                <c:lvl>
                  <c:pt idx="0">
                    <c:v>Online</c:v>
                  </c:pt>
                  <c:pt idx="1">
                    <c:v>Retail</c:v>
                  </c:pt>
                  <c:pt idx="2">
                    <c:v>Online</c:v>
                  </c:pt>
                  <c:pt idx="3">
                    <c:v>Retail</c:v>
                  </c:pt>
                  <c:pt idx="4">
                    <c:v>Online</c:v>
                  </c:pt>
                  <c:pt idx="5">
                    <c:v>Retail</c:v>
                  </c:pt>
                </c:lvl>
                <c:lvl>
                  <c:pt idx="0">
                    <c:v>Kids</c:v>
                  </c:pt>
                  <c:pt idx="2">
                    <c:v>Men</c:v>
                  </c:pt>
                  <c:pt idx="4">
                    <c:v>Women</c:v>
                  </c:pt>
                </c:lvl>
              </c:multiLvlStrCache>
            </c:multiLvlStrRef>
          </c:cat>
          <c:val>
            <c:numRef>
              <c:f>Sheet2!$E$11:$E$20</c:f>
              <c:numCache>
                <c:formatCode>_("₹"* #,##0_);_("₹"* \(#,##0\);_("₹"* "-"_);_(@_)</c:formatCode>
                <c:ptCount val="6"/>
                <c:pt idx="0">
                  <c:v>7953.88</c:v>
                </c:pt>
                <c:pt idx="1">
                  <c:v>9260.68</c:v>
                </c:pt>
                <c:pt idx="2">
                  <c:v>31025.200000000001</c:v>
                </c:pt>
                <c:pt idx="3">
                  <c:v>28876.71</c:v>
                </c:pt>
                <c:pt idx="4">
                  <c:v>46541.68</c:v>
                </c:pt>
                <c:pt idx="5">
                  <c:v>22618.620000000003</c:v>
                </c:pt>
              </c:numCache>
            </c:numRef>
          </c:val>
          <c:extLst>
            <c:ext xmlns:c16="http://schemas.microsoft.com/office/drawing/2014/chart" uri="{C3380CC4-5D6E-409C-BE32-E72D297353CC}">
              <c16:uniqueId val="{0000000E-EB5D-43B8-B324-83DADAFD5260}"/>
            </c:ext>
          </c:extLst>
        </c:ser>
        <c:ser>
          <c:idx val="4"/>
          <c:order val="4"/>
          <c:tx>
            <c:strRef>
              <c:f>Sheet2!$F$9:$F$10</c:f>
              <c:strCache>
                <c:ptCount val="1"/>
                <c:pt idx="0">
                  <c:v>Training</c:v>
                </c:pt>
              </c:strCache>
            </c:strRef>
          </c:tx>
          <c:spPr>
            <a:solidFill>
              <a:schemeClr val="accent5">
                <a:lumMod val="75000"/>
              </a:schemeClr>
            </a:solidFill>
            <a:ln>
              <a:noFill/>
            </a:ln>
            <a:effectLst/>
          </c:spPr>
          <c:invertIfNegative val="0"/>
          <c:cat>
            <c:multiLvlStrRef>
              <c:f>Sheet2!$A$11:$A$20</c:f>
              <c:multiLvlStrCache>
                <c:ptCount val="6"/>
                <c:lvl>
                  <c:pt idx="0">
                    <c:v>Online</c:v>
                  </c:pt>
                  <c:pt idx="1">
                    <c:v>Retail</c:v>
                  </c:pt>
                  <c:pt idx="2">
                    <c:v>Online</c:v>
                  </c:pt>
                  <c:pt idx="3">
                    <c:v>Retail</c:v>
                  </c:pt>
                  <c:pt idx="4">
                    <c:v>Online</c:v>
                  </c:pt>
                  <c:pt idx="5">
                    <c:v>Retail</c:v>
                  </c:pt>
                </c:lvl>
                <c:lvl>
                  <c:pt idx="0">
                    <c:v>Kids</c:v>
                  </c:pt>
                  <c:pt idx="2">
                    <c:v>Men</c:v>
                  </c:pt>
                  <c:pt idx="4">
                    <c:v>Women</c:v>
                  </c:pt>
                </c:lvl>
              </c:multiLvlStrCache>
            </c:multiLvlStrRef>
          </c:cat>
          <c:val>
            <c:numRef>
              <c:f>Sheet2!$F$11:$F$20</c:f>
              <c:numCache>
                <c:formatCode>_("₹"* #,##0_);_("₹"* \(#,##0\);_("₹"* "-"_);_(@_)</c:formatCode>
                <c:ptCount val="6"/>
                <c:pt idx="0">
                  <c:v>21261.97</c:v>
                </c:pt>
                <c:pt idx="1">
                  <c:v>32783.42</c:v>
                </c:pt>
                <c:pt idx="2">
                  <c:v>30691.74</c:v>
                </c:pt>
                <c:pt idx="3">
                  <c:v>60445.43</c:v>
                </c:pt>
                <c:pt idx="4">
                  <c:v>35086.33</c:v>
                </c:pt>
                <c:pt idx="5">
                  <c:v>30960.399999999998</c:v>
                </c:pt>
              </c:numCache>
            </c:numRef>
          </c:val>
          <c:extLst>
            <c:ext xmlns:c16="http://schemas.microsoft.com/office/drawing/2014/chart" uri="{C3380CC4-5D6E-409C-BE32-E72D297353CC}">
              <c16:uniqueId val="{0000000F-EB5D-43B8-B324-83DADAFD5260}"/>
            </c:ext>
          </c:extLst>
        </c:ser>
        <c:dLbls>
          <c:showLegendKey val="0"/>
          <c:showVal val="0"/>
          <c:showCatName val="0"/>
          <c:showSerName val="0"/>
          <c:showPercent val="0"/>
          <c:showBubbleSize val="0"/>
        </c:dLbls>
        <c:gapWidth val="219"/>
        <c:overlap val="-27"/>
        <c:axId val="255850640"/>
        <c:axId val="406869744"/>
      </c:barChart>
      <c:catAx>
        <c:axId val="255850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869744"/>
        <c:crosses val="autoZero"/>
        <c:auto val="1"/>
        <c:lblAlgn val="ctr"/>
        <c:lblOffset val="100"/>
        <c:noMultiLvlLbl val="0"/>
      </c:catAx>
      <c:valAx>
        <c:axId val="40686974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85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Top 10 Products by Revenue</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panose="020F0502020204030204"/>
            </a:rPr>
            <a:t>Top 10 Products by Revenue</a:t>
          </a:r>
        </a:p>
      </cx:txPr>
    </cx:title>
    <cx:plotArea>
      <cx:plotAreaRegion>
        <cx:series layoutId="treemap" uniqueId="{00000000-0333-4BB7-B254-DE74273745A7}">
          <cx:tx>
            <cx:txData>
              <cx:f>_xlchart.v1.4</cx:f>
              <cx:v>Sum of Revenue</cx:v>
            </cx:txData>
          </cx:tx>
          <cx:dataLabels>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35821</xdr:colOff>
      <xdr:row>20</xdr:row>
      <xdr:rowOff>129945</xdr:rowOff>
    </xdr:from>
    <xdr:to>
      <xdr:col>4</xdr:col>
      <xdr:colOff>897104</xdr:colOff>
      <xdr:row>40</xdr:row>
      <xdr:rowOff>109442</xdr:rowOff>
    </xdr:to>
    <xdr:graphicFrame macro="">
      <xdr:nvGraphicFramePr>
        <xdr:cNvPr id="5" name="Chart 4">
          <a:extLst>
            <a:ext uri="{FF2B5EF4-FFF2-40B4-BE49-F238E27FC236}">
              <a16:creationId xmlns:a16="http://schemas.microsoft.com/office/drawing/2014/main" id="{141205B2-BA21-926C-35EE-13FC65F8F8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373982</xdr:colOff>
      <xdr:row>20</xdr:row>
      <xdr:rowOff>175955</xdr:rowOff>
    </xdr:from>
    <xdr:to>
      <xdr:col>10</xdr:col>
      <xdr:colOff>642</xdr:colOff>
      <xdr:row>40</xdr:row>
      <xdr:rowOff>34134</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931BB0B1-7153-47BA-9790-9BD16D65E83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190213" y="3888263"/>
              <a:ext cx="4179121" cy="357048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564891</xdr:colOff>
      <xdr:row>1</xdr:row>
      <xdr:rowOff>37360</xdr:rowOff>
    </xdr:from>
    <xdr:to>
      <xdr:col>8</xdr:col>
      <xdr:colOff>662818</xdr:colOff>
      <xdr:row>7</xdr:row>
      <xdr:rowOff>115862</xdr:rowOff>
    </xdr:to>
    <mc:AlternateContent xmlns:mc="http://schemas.openxmlformats.org/markup-compatibility/2006">
      <mc:Choice xmlns:a14="http://schemas.microsoft.com/office/drawing/2010/main" Requires="a14">
        <xdr:graphicFrame macro="">
          <xdr:nvGraphicFramePr>
            <xdr:cNvPr id="8" name="Gender_Category">
              <a:extLst>
                <a:ext uri="{FF2B5EF4-FFF2-40B4-BE49-F238E27FC236}">
                  <a16:creationId xmlns:a16="http://schemas.microsoft.com/office/drawing/2014/main" id="{20D8CDEA-EF09-6B8F-34A7-67E55C535CB2}"/>
                </a:ext>
              </a:extLst>
            </xdr:cNvPr>
            <xdr:cNvGraphicFramePr/>
          </xdr:nvGraphicFramePr>
          <xdr:xfrm>
            <a:off x="0" y="0"/>
            <a:ext cx="0" cy="0"/>
          </xdr:xfrm>
          <a:graphic>
            <a:graphicData uri="http://schemas.microsoft.com/office/drawing/2010/slicer">
              <sle:slicer xmlns:sle="http://schemas.microsoft.com/office/drawing/2010/slicer" name="Gender_Category"/>
            </a:graphicData>
          </a:graphic>
        </xdr:graphicFrame>
      </mc:Choice>
      <mc:Fallback>
        <xdr:sp macro="" textlink="">
          <xdr:nvSpPr>
            <xdr:cNvPr id="0" name=""/>
            <xdr:cNvSpPr>
              <a:spLocks noTextEdit="1"/>
            </xdr:cNvSpPr>
          </xdr:nvSpPr>
          <xdr:spPr>
            <a:xfrm>
              <a:off x="4829688" y="217563"/>
              <a:ext cx="2251779" cy="11597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368345</xdr:colOff>
      <xdr:row>0</xdr:row>
      <xdr:rowOff>169043</xdr:rowOff>
    </xdr:from>
    <xdr:to>
      <xdr:col>5</xdr:col>
      <xdr:colOff>345063</xdr:colOff>
      <xdr:row>7</xdr:row>
      <xdr:rowOff>128229</xdr:rowOff>
    </xdr:to>
    <mc:AlternateContent xmlns:mc="http://schemas.openxmlformats.org/markup-compatibility/2006">
      <mc:Choice xmlns:a14="http://schemas.microsoft.com/office/drawing/2010/main" Requires="a14">
        <xdr:graphicFrame macro="">
          <xdr:nvGraphicFramePr>
            <xdr:cNvPr id="9" name="Product_Line">
              <a:extLst>
                <a:ext uri="{FF2B5EF4-FFF2-40B4-BE49-F238E27FC236}">
                  <a16:creationId xmlns:a16="http://schemas.microsoft.com/office/drawing/2014/main" id="{5497BDDF-371B-B68D-6B8B-5FBB0E0C3228}"/>
                </a:ext>
              </a:extLst>
            </xdr:cNvPr>
            <xdr:cNvGraphicFramePr/>
          </xdr:nvGraphicFramePr>
          <xdr:xfrm>
            <a:off x="0" y="0"/>
            <a:ext cx="0" cy="0"/>
          </xdr:xfrm>
          <a:graphic>
            <a:graphicData uri="http://schemas.microsoft.com/office/drawing/2010/slicer">
              <sle:slicer xmlns:sle="http://schemas.microsoft.com/office/drawing/2010/slicer" name="Product_Line"/>
            </a:graphicData>
          </a:graphic>
        </xdr:graphicFrame>
      </mc:Choice>
      <mc:Fallback>
        <xdr:sp macro="" textlink="">
          <xdr:nvSpPr>
            <xdr:cNvPr id="0" name=""/>
            <xdr:cNvSpPr>
              <a:spLocks noTextEdit="1"/>
            </xdr:cNvSpPr>
          </xdr:nvSpPr>
          <xdr:spPr>
            <a:xfrm>
              <a:off x="2565102" y="169043"/>
              <a:ext cx="2044758" cy="12206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137660</xdr:colOff>
      <xdr:row>1</xdr:row>
      <xdr:rowOff>129658</xdr:rowOff>
    </xdr:from>
    <xdr:to>
      <xdr:col>2</xdr:col>
      <xdr:colOff>240003</xdr:colOff>
      <xdr:row>6</xdr:row>
      <xdr:rowOff>157148</xdr:rowOff>
    </xdr:to>
    <mc:AlternateContent xmlns:mc="http://schemas.openxmlformats.org/markup-compatibility/2006">
      <mc:Choice xmlns:a14="http://schemas.microsoft.com/office/drawing/2010/main" Requires="a14">
        <xdr:graphicFrame macro="">
          <xdr:nvGraphicFramePr>
            <xdr:cNvPr id="10" name="Sales_Channel">
              <a:extLst>
                <a:ext uri="{FF2B5EF4-FFF2-40B4-BE49-F238E27FC236}">
                  <a16:creationId xmlns:a16="http://schemas.microsoft.com/office/drawing/2014/main" id="{79A690AF-AC7C-B0B2-A911-7B2CD4A475B3}"/>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dr:sp macro="" textlink="">
          <xdr:nvSpPr>
            <xdr:cNvPr id="0" name=""/>
            <xdr:cNvSpPr>
              <a:spLocks noTextEdit="1"/>
            </xdr:cNvSpPr>
          </xdr:nvSpPr>
          <xdr:spPr>
            <a:xfrm>
              <a:off x="137660" y="309861"/>
              <a:ext cx="2299100" cy="9285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845974</xdr:colOff>
      <xdr:row>1</xdr:row>
      <xdr:rowOff>26186</xdr:rowOff>
    </xdr:from>
    <xdr:to>
      <xdr:col>11</xdr:col>
      <xdr:colOff>589177</xdr:colOff>
      <xdr:row>7</xdr:row>
      <xdr:rowOff>117835</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2B236077-653A-AF21-5B01-137F847DF33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264623" y="206389"/>
              <a:ext cx="2377595" cy="11728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lkit" refreshedDate="46269.731866319446" createdVersion="8" refreshedVersion="8" minRefreshableVersion="3" recordCount="110" xr:uid="{7C37504D-06B2-4E63-8300-834D8C73E223}">
  <cacheSource type="worksheet">
    <worksheetSource name="Nike_Sales_Uncleaned"/>
  </cacheSource>
  <cacheFields count="13">
    <cacheField name="Order_ID" numFmtId="0">
      <sharedItems containsSemiMixedTypes="0" containsString="0" containsNumber="1" containsInteger="1" minValue="2016" maxValue="4484"/>
    </cacheField>
    <cacheField name="Gender_Category" numFmtId="0">
      <sharedItems/>
    </cacheField>
    <cacheField name="Product_Line" numFmtId="0">
      <sharedItems/>
    </cacheField>
    <cacheField name="Product_Name" numFmtId="0">
      <sharedItems/>
    </cacheField>
    <cacheField name="Size" numFmtId="0">
      <sharedItems/>
    </cacheField>
    <cacheField name="Units_Sold" numFmtId="0">
      <sharedItems containsSemiMixedTypes="0" containsString="0" containsNumber="1" containsInteger="1" minValue="-1" maxValue="4"/>
    </cacheField>
    <cacheField name="MRP" numFmtId="0">
      <sharedItems containsSemiMixedTypes="0" containsString="0" containsNumber="1" minValue="2290.64" maxValue="9872.3799999999992"/>
    </cacheField>
    <cacheField name="Discount_Applied" numFmtId="0">
      <sharedItems containsSemiMixedTypes="0" containsString="0" containsNumber="1" minValue="0.01" maxValue="1.1000000000000001"/>
    </cacheField>
    <cacheField name="Revenue" numFmtId="0">
      <sharedItems containsSemiMixedTypes="0" containsString="0" containsNumber="1" minValue="157.68" maxValue="37169.35"/>
    </cacheField>
    <cacheField name="Order_Date" numFmtId="14">
      <sharedItems containsNonDate="0" containsDate="1" containsString="0" containsBlank="1" minDate="2023-08-08T00:00:00" maxDate="2025-07-14T00:00:00"/>
    </cacheField>
    <cacheField name="Sales_Channel" numFmtId="0">
      <sharedItems/>
    </cacheField>
    <cacheField name="Region" numFmtId="0">
      <sharedItems count="9">
        <s v="Hyderabad"/>
        <s v="Delhi"/>
        <s v="Pune"/>
        <s v="Mumbai"/>
        <s v="Bengaluru"/>
        <s v="Kolkata"/>
        <s v="Hyderbad" u="1"/>
        <s v="Bangalore" u="1"/>
        <s v="Hyd" u="1"/>
      </sharedItems>
    </cacheField>
    <cacheField name="Profit" numFmtId="0">
      <sharedItems containsSemiMixedTypes="0" containsString="0" containsNumber="1" minValue="-1152.8599999999999" maxValue="3894.9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lkit" refreshedDate="46269.731867013892" createdVersion="8" refreshedVersion="8" minRefreshableVersion="3" recordCount="110" xr:uid="{3D2921B8-008F-40DB-A313-7D27A8B193FA}">
  <cacheSource type="worksheet">
    <worksheetSource name="Nike_Sales_Uncleaned"/>
  </cacheSource>
  <cacheFields count="13">
    <cacheField name="Order_ID" numFmtId="0">
      <sharedItems containsSemiMixedTypes="0" containsString="0" containsNumber="1" containsInteger="1" minValue="2016" maxValue="4484"/>
    </cacheField>
    <cacheField name="Gender_Category" numFmtId="0">
      <sharedItems count="3">
        <s v="Women"/>
        <s v="Men"/>
        <s v="Kids"/>
      </sharedItems>
    </cacheField>
    <cacheField name="Product_Line" numFmtId="0">
      <sharedItems count="5">
        <s v="Basketball"/>
        <s v="Soccer"/>
        <s v="Lifestyle"/>
        <s v="Training"/>
        <s v="Running"/>
      </sharedItems>
    </cacheField>
    <cacheField name="Product_Name" numFmtId="0">
      <sharedItems count="20">
        <s v="Air Jordan"/>
        <s v="Premier Iii"/>
        <s v="Blazer Mid"/>
        <s v="Flex Trainer"/>
        <s v="Zoom Freak"/>
        <s v="Lebron 20"/>
        <s v="Zoomx Invincible"/>
        <s v="Kyrie Flytrap"/>
        <s v="Metcon 7"/>
        <s v="Waffle One"/>
        <s v="Dunk Low"/>
        <s v="Air Zoom"/>
        <s v="React Infinity"/>
        <s v="Tiempo Legend"/>
        <s v="Mercurial Superfly"/>
        <s v="Phantom Gt"/>
        <s v="Free Rn"/>
        <s v="Air Force 1"/>
        <s v="Superrep Go"/>
        <s v="Pegasus Turbo"/>
      </sharedItems>
    </cacheField>
    <cacheField name="Size" numFmtId="0">
      <sharedItems/>
    </cacheField>
    <cacheField name="Units_Sold" numFmtId="0">
      <sharedItems containsSemiMixedTypes="0" containsString="0" containsNumber="1" containsInteger="1" minValue="-1" maxValue="4"/>
    </cacheField>
    <cacheField name="MRP" numFmtId="0">
      <sharedItems containsSemiMixedTypes="0" containsString="0" containsNumber="1" minValue="2290.64" maxValue="9872.3799999999992"/>
    </cacheField>
    <cacheField name="Discount_Applied" numFmtId="0">
      <sharedItems containsSemiMixedTypes="0" containsString="0" containsNumber="1" minValue="0.01" maxValue="1.1000000000000001"/>
    </cacheField>
    <cacheField name="Revenue" numFmtId="0">
      <sharedItems containsSemiMixedTypes="0" containsString="0" containsNumber="1" minValue="157.68" maxValue="37169.35"/>
    </cacheField>
    <cacheField name="Order_Date" numFmtId="14">
      <sharedItems containsNonDate="0" containsDate="1" containsString="0" containsBlank="1" minDate="2023-08-08T00:00:00" maxDate="2025-07-14T00:00:00"/>
    </cacheField>
    <cacheField name="Sales_Channel" numFmtId="0">
      <sharedItems count="2">
        <s v="Retail"/>
        <s v="Online"/>
      </sharedItems>
    </cacheField>
    <cacheField name="Region" numFmtId="0">
      <sharedItems count="9">
        <s v="Hyderabad"/>
        <s v="Delhi"/>
        <s v="Pune"/>
        <s v="Mumbai"/>
        <s v="Bengaluru"/>
        <s v="Kolkata"/>
        <s v="Hyderbad" u="1"/>
        <s v="Bangalore" u="1"/>
        <s v="Hyd" u="1"/>
      </sharedItems>
    </cacheField>
    <cacheField name="Profit" numFmtId="0">
      <sharedItems containsSemiMixedTypes="0" containsString="0" containsNumber="1" minValue="-1152.8599999999999" maxValue="3894.95"/>
    </cacheField>
  </cacheFields>
  <extLst>
    <ext xmlns:x14="http://schemas.microsoft.com/office/spreadsheetml/2009/9/main" uri="{725AE2AE-9491-48be-B2B4-4EB974FC3084}">
      <x14:pivotCacheDefinition pivotCacheId="20724302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
  <r>
    <n v="2016"/>
    <s v="Women"/>
    <s v="Basketball"/>
    <s v="Air Jordan"/>
    <s v="M"/>
    <n v="1"/>
    <n v="9871.75"/>
    <n v="0.3"/>
    <n v="6910.22"/>
    <m/>
    <s v="Retail"/>
    <x v="0"/>
    <n v="2452.69"/>
  </r>
  <r>
    <n v="2031"/>
    <s v="Men"/>
    <s v="Soccer"/>
    <s v="Premier Iii"/>
    <s v=""/>
    <n v="4"/>
    <n v="3493.04"/>
    <n v="0.82"/>
    <n v="2514.9899999999998"/>
    <d v="2024-05-09T00:00:00"/>
    <s v="Online"/>
    <x v="1"/>
    <n v="350.7"/>
  </r>
  <r>
    <n v="2063"/>
    <s v="Women"/>
    <s v="Basketball"/>
    <s v="Air Jordan"/>
    <s v="M"/>
    <n v="1"/>
    <n v="9751"/>
    <n v="0.16"/>
    <n v="8190.84"/>
    <d v="2024-09-06T00:00:00"/>
    <s v="Retail"/>
    <x v="2"/>
    <n v="1130.31"/>
  </r>
  <r>
    <n v="2071"/>
    <s v="Kids"/>
    <s v="Lifestyle"/>
    <s v="Blazer Mid"/>
    <s v="M"/>
    <n v="3"/>
    <n v="7849.81"/>
    <n v="0.49"/>
    <n v="12010.21"/>
    <d v="2025-01-12T00:00:00"/>
    <s v="Retail"/>
    <x v="2"/>
    <n v="-882.96"/>
  </r>
  <r>
    <n v="2089"/>
    <s v="Women"/>
    <s v="Training"/>
    <s v="Flex Trainer"/>
    <s v="L"/>
    <n v="2"/>
    <n v="6874.77"/>
    <n v="0.6"/>
    <n v="5499.82"/>
    <d v="2024-12-02T00:00:00"/>
    <s v="Online"/>
    <x v="3"/>
    <n v="-1076.6600000000001"/>
  </r>
  <r>
    <n v="2114"/>
    <s v="Women"/>
    <s v="Training"/>
    <s v="Flex Trainer"/>
    <s v="Xl"/>
    <n v="1"/>
    <n v="3167.33"/>
    <n v="0.53"/>
    <n v="1488.65"/>
    <m/>
    <s v="Retail"/>
    <x v="2"/>
    <n v="1567.37"/>
  </r>
  <r>
    <n v="2135"/>
    <s v="Men"/>
    <s v="Basketball"/>
    <s v="Zoom Freak"/>
    <s v="L"/>
    <n v="2"/>
    <n v="9106.61"/>
    <n v="0.74"/>
    <n v="4735.4399999999996"/>
    <d v="2024-11-03T00:00:00"/>
    <s v="Retail"/>
    <x v="0"/>
    <n v="2422.38"/>
  </r>
  <r>
    <n v="2150"/>
    <s v="Women"/>
    <s v="Basketball"/>
    <s v="Lebron 20"/>
    <s v="M"/>
    <n v="2"/>
    <n v="3313.21"/>
    <n v="0.48"/>
    <n v="3445.74"/>
    <d v="2025-07-06T00:00:00"/>
    <s v="Online"/>
    <x v="4"/>
    <n v="3221.62"/>
  </r>
  <r>
    <n v="2169"/>
    <s v="Kids"/>
    <s v="Training"/>
    <s v="Flex Trainer"/>
    <s v=""/>
    <n v="4"/>
    <n v="4046.05"/>
    <n v="0.01"/>
    <n v="16022.36"/>
    <d v="2024-12-14T00:00:00"/>
    <s v="Retail"/>
    <x v="1"/>
    <n v="1057.58"/>
  </r>
  <r>
    <n v="2185"/>
    <s v="Women"/>
    <s v="Training"/>
    <s v="Zoomx Invincible"/>
    <s v="Xl"/>
    <n v="4"/>
    <n v="4207.4399999999996"/>
    <n v="0.59"/>
    <n v="6900.2"/>
    <d v="2025-06-08T00:00:00"/>
    <s v="Online"/>
    <x v="5"/>
    <n v="-615.48"/>
  </r>
  <r>
    <n v="2202"/>
    <s v="Men"/>
    <s v="Basketball"/>
    <s v="Kyrie Flytrap"/>
    <s v="M"/>
    <n v="-1"/>
    <n v="7918.93"/>
    <n v="1.06"/>
    <n v="475.14"/>
    <d v="2025-07-04T00:00:00"/>
    <s v="Retail"/>
    <x v="4"/>
    <n v="1994.42"/>
  </r>
  <r>
    <n v="2222"/>
    <s v="Men"/>
    <s v="Training"/>
    <s v="Zoomx Invincible"/>
    <s v="Xl"/>
    <n v="2"/>
    <n v="8897.19"/>
    <n v="0.11"/>
    <n v="15837"/>
    <d v="2024-12-21T00:00:00"/>
    <s v="Retail"/>
    <x v="3"/>
    <n v="2821.69"/>
  </r>
  <r>
    <n v="2248"/>
    <s v="Men"/>
    <s v="Training"/>
    <s v="Metcon 7"/>
    <s v="M"/>
    <n v="4"/>
    <n v="8249.9599999999991"/>
    <n v="0.24"/>
    <n v="25079.88"/>
    <d v="2024-01-16T00:00:00"/>
    <s v="Online"/>
    <x v="4"/>
    <n v="1625.14"/>
  </r>
  <r>
    <n v="2300"/>
    <s v="Men"/>
    <s v="Basketball"/>
    <s v="Air Jordan"/>
    <s v="L"/>
    <n v="3"/>
    <n v="6331.64"/>
    <n v="0.78"/>
    <n v="4178.88"/>
    <d v="2024-08-17T00:00:00"/>
    <s v="Retail"/>
    <x v="1"/>
    <n v="3380.28"/>
  </r>
  <r>
    <n v="2306"/>
    <s v="Kids"/>
    <s v="Basketball"/>
    <s v="Air Jordan"/>
    <s v=""/>
    <n v="1"/>
    <n v="8267.56"/>
    <n v="0.28999999999999998"/>
    <n v="5869.97"/>
    <d v="2024-11-10T00:00:00"/>
    <s v="Retail"/>
    <x v="4"/>
    <n v="476.25"/>
  </r>
  <r>
    <n v="2328"/>
    <s v="Men"/>
    <s v="Lifestyle"/>
    <s v="Waffle One"/>
    <s v="6"/>
    <n v="2"/>
    <n v="6449.46"/>
    <n v="0.28999999999999998"/>
    <n v="9158.23"/>
    <d v="2024-11-09T00:00:00"/>
    <s v="Online"/>
    <x v="3"/>
    <n v="39.69"/>
  </r>
  <r>
    <n v="2367"/>
    <s v="Kids"/>
    <s v="Lifestyle"/>
    <s v="Dunk Low"/>
    <s v="Xl"/>
    <n v="4"/>
    <n v="6202.99"/>
    <n v="0.84"/>
    <n v="3969.91"/>
    <d v="2024-11-12T00:00:00"/>
    <s v="Online"/>
    <x v="4"/>
    <n v="-202.12"/>
  </r>
  <r>
    <n v="2412"/>
    <s v="Kids"/>
    <s v="Lifestyle"/>
    <s v="Blazer Mid"/>
    <s v="Xl"/>
    <n v="1"/>
    <n v="4920.3"/>
    <n v="0.14000000000000001"/>
    <n v="4231.46"/>
    <m/>
    <s v="Retail"/>
    <x v="3"/>
    <n v="1135.72"/>
  </r>
  <r>
    <n v="2413"/>
    <s v="Men"/>
    <s v="Training"/>
    <s v="Flex Trainer"/>
    <s v="Xl"/>
    <n v="3"/>
    <n v="7005.67"/>
    <n v="0.15"/>
    <n v="17864.46"/>
    <m/>
    <s v="Retail"/>
    <x v="5"/>
    <n v="2329.98"/>
  </r>
  <r>
    <n v="2432"/>
    <s v="Women"/>
    <s v="Basketball"/>
    <s v="Zoom Freak"/>
    <s v="L"/>
    <n v="1"/>
    <n v="3036.61"/>
    <n v="0.86"/>
    <n v="425.13"/>
    <d v="2024-10-26T00:00:00"/>
    <s v="Online"/>
    <x v="3"/>
    <n v="3754.3"/>
  </r>
  <r>
    <n v="2460"/>
    <s v="Women"/>
    <s v="Basketball"/>
    <s v="Zoom Freak"/>
    <s v="Xl"/>
    <n v="2"/>
    <n v="5482.96"/>
    <n v="0.35"/>
    <n v="7127.85"/>
    <d v="2024-11-04T00:00:00"/>
    <s v="Online"/>
    <x v="5"/>
    <n v="-823.8"/>
  </r>
  <r>
    <n v="2481"/>
    <s v="Women"/>
    <s v="Soccer"/>
    <s v="Premier Iii"/>
    <s v="7"/>
    <n v="1"/>
    <n v="9145.3700000000008"/>
    <n v="7.0000000000000007E-2"/>
    <n v="8505.19"/>
    <d v="2025-04-17T00:00:00"/>
    <s v="Online"/>
    <x v="2"/>
    <n v="1755.19"/>
  </r>
  <r>
    <n v="2487"/>
    <s v="Men"/>
    <s v="Running"/>
    <s v="Air Zoom"/>
    <s v="L"/>
    <n v="3"/>
    <n v="5881.13"/>
    <n v="0.8"/>
    <n v="3528.68"/>
    <d v="2025-03-31T00:00:00"/>
    <s v="Online"/>
    <x v="0"/>
    <n v="2108.4"/>
  </r>
  <r>
    <n v="2490"/>
    <s v="Women"/>
    <s v="Soccer"/>
    <s v="Premier Iii"/>
    <s v="L"/>
    <n v="3"/>
    <n v="5015.1899999999996"/>
    <n v="0.75"/>
    <n v="3761.39"/>
    <d v="2024-11-26T00:00:00"/>
    <s v="Online"/>
    <x v="0"/>
    <n v="-494.53"/>
  </r>
  <r>
    <n v="2496"/>
    <s v="Kids"/>
    <s v="Running"/>
    <s v="React Infinity"/>
    <s v="M"/>
    <n v="2"/>
    <n v="4110.72"/>
    <n v="0.32"/>
    <n v="5590.58"/>
    <d v="2024-12-24T00:00:00"/>
    <s v="Retail"/>
    <x v="4"/>
    <n v="3894.95"/>
  </r>
  <r>
    <n v="2535"/>
    <s v="Men"/>
    <s v="Soccer"/>
    <s v="Tiempo Legend"/>
    <s v="Xl"/>
    <n v="2"/>
    <n v="2786.84"/>
    <n v="0.21"/>
    <n v="4403.21"/>
    <d v="2025-01-25T00:00:00"/>
    <s v="Online"/>
    <x v="3"/>
    <n v="3345.36"/>
  </r>
  <r>
    <n v="2550"/>
    <s v="Men"/>
    <s v="Soccer"/>
    <s v="Premier Iii"/>
    <s v="Xl"/>
    <n v="1"/>
    <n v="6121.21"/>
    <n v="0.05"/>
    <n v="5815.15"/>
    <d v="2023-09-08T00:00:00"/>
    <s v="Online"/>
    <x v="5"/>
    <n v="2470.08"/>
  </r>
  <r>
    <n v="2563"/>
    <s v="Men"/>
    <s v="Soccer"/>
    <s v="Mercurial Superfly"/>
    <s v="M"/>
    <n v="2"/>
    <n v="9443.35"/>
    <n v="0.54"/>
    <n v="8687.8799999999992"/>
    <d v="2025-04-13T00:00:00"/>
    <s v="Retail"/>
    <x v="5"/>
    <n v="2706.61"/>
  </r>
  <r>
    <n v="2569"/>
    <s v="Women"/>
    <s v="Basketball"/>
    <s v="Air Jordan"/>
    <s v="L"/>
    <n v="2"/>
    <n v="9605.11"/>
    <n v="0.88"/>
    <n v="2305.23"/>
    <d v="2024-08-24T00:00:00"/>
    <s v="Online"/>
    <x v="0"/>
    <n v="128.88999999999999"/>
  </r>
  <r>
    <n v="2594"/>
    <s v="Women"/>
    <s v="Training"/>
    <s v="Zoomx Invincible"/>
    <s v="Xl"/>
    <n v="3"/>
    <n v="7944.34"/>
    <n v="0.67"/>
    <n v="7864.9"/>
    <d v="2024-02-23T00:00:00"/>
    <s v="Retail"/>
    <x v="0"/>
    <n v="1534.91"/>
  </r>
  <r>
    <n v="2613"/>
    <s v="Women"/>
    <s v="Lifestyle"/>
    <s v="Waffle One"/>
    <s v="7"/>
    <n v="3"/>
    <n v="4374.83"/>
    <n v="0.27"/>
    <n v="9580.8799999999992"/>
    <m/>
    <s v="Retail"/>
    <x v="1"/>
    <n v="1473.37"/>
  </r>
  <r>
    <n v="2615"/>
    <s v="Women"/>
    <s v="Soccer"/>
    <s v="Phantom Gt"/>
    <s v="Xl"/>
    <n v="3"/>
    <n v="3042.37"/>
    <n v="0.12"/>
    <n v="8031.86"/>
    <d v="2025-03-24T00:00:00"/>
    <s v="Online"/>
    <x v="2"/>
    <n v="2105.48"/>
  </r>
  <r>
    <n v="2621"/>
    <s v="Kids"/>
    <s v="Soccer"/>
    <s v="Phantom Gt"/>
    <s v="L"/>
    <n v="3"/>
    <n v="6466.57"/>
    <n v="0.59"/>
    <n v="7953.88"/>
    <d v="2024-05-19T00:00:00"/>
    <s v="Online"/>
    <x v="4"/>
    <n v="-1152.8599999999999"/>
  </r>
  <r>
    <n v="2709"/>
    <s v="Kids"/>
    <s v="Running"/>
    <s v="Free Rn"/>
    <s v="10"/>
    <n v="1"/>
    <n v="6302.98"/>
    <n v="0.48"/>
    <n v="3277.55"/>
    <d v="2025-03-08T00:00:00"/>
    <s v="Retail"/>
    <x v="1"/>
    <n v="2835.93"/>
  </r>
  <r>
    <n v="2713"/>
    <s v="Men"/>
    <s v="Lifestyle"/>
    <s v="Air Force 1"/>
    <s v="L"/>
    <n v="1"/>
    <n v="7877.36"/>
    <n v="0.55000000000000004"/>
    <n v="3544.81"/>
    <d v="2025-05-10T00:00:00"/>
    <s v="Retail"/>
    <x v="5"/>
    <n v="3663.49"/>
  </r>
  <r>
    <n v="2780"/>
    <s v="Men"/>
    <s v="Training"/>
    <s v="Metcon 7"/>
    <s v="6"/>
    <n v="1"/>
    <n v="4308.75"/>
    <n v="0.32"/>
    <n v="2929.95"/>
    <m/>
    <s v="Online"/>
    <x v="0"/>
    <n v="799.35"/>
  </r>
  <r>
    <n v="2781"/>
    <s v="Men"/>
    <s v="Training"/>
    <s v="Metcon 7"/>
    <s v="12"/>
    <n v="1"/>
    <n v="6546.59"/>
    <n v="0.68"/>
    <n v="2094.91"/>
    <d v="2023-09-03T00:00:00"/>
    <s v="Retail"/>
    <x v="4"/>
    <n v="1504.31"/>
  </r>
  <r>
    <n v="2799"/>
    <s v="Kids"/>
    <s v="Training"/>
    <s v="Superrep Go"/>
    <s v=""/>
    <n v="3"/>
    <n v="2359.4699999999998"/>
    <n v="0.54"/>
    <n v="3256.07"/>
    <d v="2025-07-08T00:00:00"/>
    <s v="Online"/>
    <x v="3"/>
    <n v="3165.65"/>
  </r>
  <r>
    <n v="2810"/>
    <s v="Men"/>
    <s v="Running"/>
    <s v="Air Zoom"/>
    <s v="7"/>
    <n v="2"/>
    <n v="2943.44"/>
    <n v="0.53"/>
    <n v="2766.83"/>
    <m/>
    <s v="Retail"/>
    <x v="0"/>
    <n v="405.67"/>
  </r>
  <r>
    <n v="2812"/>
    <s v="Men"/>
    <s v="Basketball"/>
    <s v="Lebron 20"/>
    <s v=""/>
    <n v="2"/>
    <n v="9507.39"/>
    <n v="0.01"/>
    <n v="18824.63"/>
    <d v="2024-08-08T00:00:00"/>
    <s v="Online"/>
    <x v="5"/>
    <n v="2570.0100000000002"/>
  </r>
  <r>
    <n v="2844"/>
    <s v="Men"/>
    <s v="Lifestyle"/>
    <s v="Waffle One"/>
    <s v=""/>
    <n v="2"/>
    <n v="6495.53"/>
    <n v="0.23"/>
    <n v="10003.120000000001"/>
    <m/>
    <s v="Retail"/>
    <x v="3"/>
    <n v="-951.85"/>
  </r>
  <r>
    <n v="2904"/>
    <s v="Women"/>
    <s v="Soccer"/>
    <s v="Tiempo Legend"/>
    <s v="9"/>
    <n v="2"/>
    <n v="8644.67"/>
    <n v="0.54"/>
    <n v="7953.1"/>
    <d v="2025-04-29T00:00:00"/>
    <s v="Online"/>
    <x v="4"/>
    <n v="2711.75"/>
  </r>
  <r>
    <n v="2912"/>
    <s v="Kids"/>
    <s v="Running"/>
    <s v="React Infinity"/>
    <s v="Xl"/>
    <n v="2"/>
    <n v="9839.6299999999992"/>
    <n v="0.98"/>
    <n v="393.59"/>
    <d v="2024-03-07T00:00:00"/>
    <s v="Online"/>
    <x v="4"/>
    <n v="1218.22"/>
  </r>
  <r>
    <n v="2936"/>
    <s v="Women"/>
    <s v="Training"/>
    <s v="Flex Trainer"/>
    <s v="Xl"/>
    <n v="1"/>
    <n v="6496.58"/>
    <n v="0.28999999999999998"/>
    <n v="4612.57"/>
    <d v="2024-07-31T00:00:00"/>
    <s v="Retail"/>
    <x v="2"/>
    <n v="1933.1"/>
  </r>
  <r>
    <n v="2942"/>
    <s v="Women"/>
    <s v="Training"/>
    <s v="Flex Trainer"/>
    <s v="10"/>
    <n v="4"/>
    <n v="5222.3900000000003"/>
    <n v="0.56999999999999995"/>
    <n v="8982.51"/>
    <d v="2025-04-16T00:00:00"/>
    <s v="Online"/>
    <x v="4"/>
    <n v="-68.53"/>
  </r>
  <r>
    <n v="2977"/>
    <s v="Kids"/>
    <s v="Training"/>
    <s v="Zoomx Invincible"/>
    <s v="8"/>
    <n v="3"/>
    <n v="2959.26"/>
    <n v="0.37"/>
    <n v="5593"/>
    <m/>
    <s v="Online"/>
    <x v="5"/>
    <n v="-821.76"/>
  </r>
  <r>
    <n v="3030"/>
    <s v="Men"/>
    <s v="Soccer"/>
    <s v="Mercurial Superfly"/>
    <s v=""/>
    <n v="3"/>
    <n v="6969.28"/>
    <n v="0.57999999999999996"/>
    <n v="8781.2900000000009"/>
    <d v="2023-08-08T00:00:00"/>
    <s v="Online"/>
    <x v="5"/>
    <n v="98.19"/>
  </r>
  <r>
    <n v="3047"/>
    <s v="Women"/>
    <s v="Basketball"/>
    <s v="Kyrie Flytrap"/>
    <s v=""/>
    <n v="3"/>
    <n v="6175.84"/>
    <n v="0.9"/>
    <n v="1852.75"/>
    <d v="2024-10-14T00:00:00"/>
    <s v="Online"/>
    <x v="0"/>
    <n v="-960.94"/>
  </r>
  <r>
    <n v="3062"/>
    <s v="Women"/>
    <s v="Soccer"/>
    <s v="Phantom Gt"/>
    <s v=""/>
    <n v="1"/>
    <n v="6936.34"/>
    <n v="0.46"/>
    <n v="3745.62"/>
    <d v="2025-03-19T00:00:00"/>
    <s v="Retail"/>
    <x v="3"/>
    <n v="1647.34"/>
  </r>
  <r>
    <n v="3091"/>
    <s v="Women"/>
    <s v="Basketball"/>
    <s v="Air Jordan"/>
    <s v=""/>
    <n v="1"/>
    <n v="8666.84"/>
    <n v="0.3"/>
    <n v="6066.79"/>
    <d v="2025-02-13T00:00:00"/>
    <s v="Online"/>
    <x v="0"/>
    <n v="204.77"/>
  </r>
  <r>
    <n v="3127"/>
    <s v="Men"/>
    <s v="Training"/>
    <s v="Zoomx Invincible"/>
    <s v="Xl"/>
    <n v="1"/>
    <n v="4614.33"/>
    <n v="0.47"/>
    <n v="2445.59"/>
    <d v="2024-10-07T00:00:00"/>
    <s v="Online"/>
    <x v="2"/>
    <n v="-440.44"/>
  </r>
  <r>
    <n v="3143"/>
    <s v="Men"/>
    <s v="Training"/>
    <s v="Flex Trainer"/>
    <s v="7"/>
    <n v="3"/>
    <n v="3938.59"/>
    <n v="0.98"/>
    <n v="236.32"/>
    <d v="2024-08-23T00:00:00"/>
    <s v="Online"/>
    <x v="3"/>
    <n v="635.39"/>
  </r>
  <r>
    <n v="3165"/>
    <s v="Women"/>
    <s v="Soccer"/>
    <s v="Phantom Gt"/>
    <s v="Xl"/>
    <n v="2"/>
    <n v="2530.29"/>
    <n v="0.28999999999999998"/>
    <n v="3593.01"/>
    <d v="2025-02-17T00:00:00"/>
    <s v="Online"/>
    <x v="5"/>
    <n v="3264.03"/>
  </r>
  <r>
    <n v="3177"/>
    <s v="Kids"/>
    <s v="Lifestyle"/>
    <s v="Air Force 1"/>
    <s v="L"/>
    <n v="3"/>
    <n v="7042.12"/>
    <n v="0.89"/>
    <n v="2323.9"/>
    <m/>
    <s v="Online"/>
    <x v="3"/>
    <n v="-411.55"/>
  </r>
  <r>
    <n v="3189"/>
    <s v="Men"/>
    <s v="Basketball"/>
    <s v="Lebron 20"/>
    <s v="L"/>
    <n v="3"/>
    <n v="6730.48"/>
    <n v="0.33"/>
    <n v="13528.26"/>
    <d v="2025-02-08T00:00:00"/>
    <s v="Online"/>
    <x v="5"/>
    <n v="1456.87"/>
  </r>
  <r>
    <n v="3217"/>
    <s v="Men"/>
    <s v="Soccer"/>
    <s v="Tiempo Legend"/>
    <s v="6"/>
    <n v="1"/>
    <n v="4819.75"/>
    <n v="0.22"/>
    <n v="3759.41"/>
    <d v="2025-02-15T00:00:00"/>
    <s v="Retail"/>
    <x v="2"/>
    <n v="-514.9"/>
  </r>
  <r>
    <n v="3221"/>
    <s v="Women"/>
    <s v="Basketball"/>
    <s v="Lebron 20"/>
    <s v=""/>
    <n v="2"/>
    <n v="9682.68"/>
    <n v="0.88"/>
    <n v="2323.84"/>
    <d v="2024-09-21T00:00:00"/>
    <s v="Online"/>
    <x v="2"/>
    <n v="1650.44"/>
  </r>
  <r>
    <n v="3224"/>
    <s v="Women"/>
    <s v="Soccer"/>
    <s v="Phantom Gt"/>
    <s v=""/>
    <n v="1"/>
    <n v="9872.3799999999992"/>
    <n v="0.18"/>
    <n v="8095.35"/>
    <d v="2025-03-18T00:00:00"/>
    <s v="Retail"/>
    <x v="2"/>
    <n v="233.85"/>
  </r>
  <r>
    <n v="3238"/>
    <s v="Women"/>
    <s v="Training"/>
    <s v="Superrep Go"/>
    <s v="Xl"/>
    <n v="1"/>
    <n v="4420.21"/>
    <n v="0.32"/>
    <n v="3005.74"/>
    <m/>
    <s v="Retail"/>
    <x v="3"/>
    <n v="705.58"/>
  </r>
  <r>
    <n v="3274"/>
    <s v="Men"/>
    <s v="Training"/>
    <s v="Superrep Go"/>
    <s v="L"/>
    <n v="3"/>
    <n v="6031.14"/>
    <n v="0.15"/>
    <n v="15379.41"/>
    <d v="2025-05-03T00:00:00"/>
    <s v="Retail"/>
    <x v="0"/>
    <n v="169.05"/>
  </r>
  <r>
    <n v="3279"/>
    <s v="Kids"/>
    <s v="Soccer"/>
    <s v="Mercurial Superfly"/>
    <s v="Xl"/>
    <n v="4"/>
    <n v="2572.41"/>
    <n v="0.1"/>
    <n v="9260.68"/>
    <d v="2024-11-09T00:00:00"/>
    <s v="Retail"/>
    <x v="1"/>
    <n v="3098.28"/>
  </r>
  <r>
    <n v="3357"/>
    <s v="Kids"/>
    <s v="Training"/>
    <s v="Flex Trainer"/>
    <s v="M"/>
    <n v="4"/>
    <n v="6206.45"/>
    <n v="0.5"/>
    <n v="12412.9"/>
    <d v="2025-04-05T00:00:00"/>
    <s v="Online"/>
    <x v="1"/>
    <n v="678.42"/>
  </r>
  <r>
    <n v="3379"/>
    <s v="Men"/>
    <s v="Basketball"/>
    <s v="Air Jordan"/>
    <s v=""/>
    <n v="2"/>
    <n v="5000.49"/>
    <n v="0.86"/>
    <n v="1400.14"/>
    <d v="2024-10-23T00:00:00"/>
    <s v="Retail"/>
    <x v="2"/>
    <n v="3000.14"/>
  </r>
  <r>
    <n v="3409"/>
    <s v="Kids"/>
    <s v="Running"/>
    <s v="Air Zoom"/>
    <s v="M"/>
    <n v="1"/>
    <n v="6312.01"/>
    <n v="0.3"/>
    <n v="4418.41"/>
    <d v="2024-09-08T00:00:00"/>
    <s v="Retail"/>
    <x v="1"/>
    <n v="-1106.07"/>
  </r>
  <r>
    <n v="3428"/>
    <s v="Women"/>
    <s v="Basketball"/>
    <s v="Air Jordan"/>
    <s v="6"/>
    <n v="1"/>
    <n v="2825.86"/>
    <n v="0.23"/>
    <n v="2175.91"/>
    <d v="2024-12-03T00:00:00"/>
    <s v="Online"/>
    <x v="4"/>
    <n v="625.29999999999995"/>
  </r>
  <r>
    <n v="3466"/>
    <s v="Men"/>
    <s v="Basketball"/>
    <s v="Kyrie Flytrap"/>
    <s v=""/>
    <n v="2"/>
    <n v="6498.22"/>
    <n v="0.5"/>
    <n v="6498.22"/>
    <d v="2024-10-24T00:00:00"/>
    <s v="Retail"/>
    <x v="3"/>
    <n v="-360.53"/>
  </r>
  <r>
    <n v="3468"/>
    <s v="Men"/>
    <s v="Soccer"/>
    <s v="Phantom Gt"/>
    <s v=""/>
    <n v="4"/>
    <n v="9577.99"/>
    <n v="0.93"/>
    <n v="2681.84"/>
    <m/>
    <s v="Online"/>
    <x v="5"/>
    <n v="-259.93"/>
  </r>
  <r>
    <n v="3534"/>
    <s v="Kids"/>
    <s v="Basketball"/>
    <s v="Zoom Freak"/>
    <s v=""/>
    <n v="3"/>
    <n v="3280.57"/>
    <n v="0.62"/>
    <n v="3739.85"/>
    <d v="2024-11-09T00:00:00"/>
    <s v="Retail"/>
    <x v="5"/>
    <n v="427.76"/>
  </r>
  <r>
    <n v="3573"/>
    <s v="Men"/>
    <s v="Basketball"/>
    <s v="Air Jordan"/>
    <s v=""/>
    <n v="1"/>
    <n v="6830.98"/>
    <n v="0.39"/>
    <n v="4166.8999999999996"/>
    <d v="2025-03-18T00:00:00"/>
    <s v="Retail"/>
    <x v="3"/>
    <n v="-175.76"/>
  </r>
  <r>
    <n v="3662"/>
    <s v="Kids"/>
    <s v="Lifestyle"/>
    <s v="Waffle One"/>
    <s v=""/>
    <n v="4"/>
    <n v="9032.9"/>
    <n v="0.64"/>
    <n v="13007.38"/>
    <m/>
    <s v="Online"/>
    <x v="4"/>
    <n v="131.76"/>
  </r>
  <r>
    <n v="3667"/>
    <s v="Kids"/>
    <s v="Running"/>
    <s v="Air Zoom"/>
    <s v="M"/>
    <n v="4"/>
    <n v="9386.2000000000007"/>
    <n v="0.01"/>
    <n v="37169.35"/>
    <m/>
    <s v="Online"/>
    <x v="2"/>
    <n v="-1121.02"/>
  </r>
  <r>
    <n v="3672"/>
    <s v="Women"/>
    <s v="Soccer"/>
    <s v="Tiempo Legend"/>
    <s v="7"/>
    <n v="3"/>
    <n v="7127.18"/>
    <n v="0.32"/>
    <n v="14539.45"/>
    <d v="2024-08-16T00:00:00"/>
    <s v="Online"/>
    <x v="1"/>
    <n v="2651.63"/>
  </r>
  <r>
    <n v="3680"/>
    <s v="Men"/>
    <s v="Training"/>
    <s v="Flex Trainer"/>
    <s v="Xl"/>
    <n v="3"/>
    <n v="8835.41"/>
    <n v="0.92"/>
    <n v="2120.5"/>
    <d v="2025-01-27T00:00:00"/>
    <s v="Retail"/>
    <x v="1"/>
    <n v="-746.28"/>
  </r>
  <r>
    <n v="3719"/>
    <s v="Men"/>
    <s v="Running"/>
    <s v="Free Rn"/>
    <s v=""/>
    <n v="2"/>
    <n v="5943.38"/>
    <n v="0.23"/>
    <n v="9152.81"/>
    <d v="2025-06-21T00:00:00"/>
    <s v="Online"/>
    <x v="4"/>
    <n v="3260.51"/>
  </r>
  <r>
    <n v="3722"/>
    <s v="Kids"/>
    <s v="Training"/>
    <s v="Zoomx Invincible"/>
    <s v="7"/>
    <n v="1"/>
    <n v="9335"/>
    <n v="0.22"/>
    <n v="7281.3"/>
    <d v="2023-11-21T00:00:00"/>
    <s v="Retail"/>
    <x v="3"/>
    <n v="1787.45"/>
  </r>
  <r>
    <n v="3738"/>
    <s v="Men"/>
    <s v="Soccer"/>
    <s v="Premier Iii"/>
    <s v="11"/>
    <n v="1"/>
    <n v="6968.08"/>
    <n v="0.02"/>
    <n v="6828.72"/>
    <d v="2025-03-30T00:00:00"/>
    <s v="Online"/>
    <x v="1"/>
    <n v="-673.94"/>
  </r>
  <r>
    <n v="3741"/>
    <s v="Kids"/>
    <s v="Lifestyle"/>
    <s v="Air Force 1"/>
    <s v="L"/>
    <n v="2"/>
    <n v="8927.2199999999993"/>
    <n v="0.2"/>
    <n v="14283.55"/>
    <d v="2025-07-13T00:00:00"/>
    <s v="Retail"/>
    <x v="5"/>
    <n v="821.32"/>
  </r>
  <r>
    <n v="3755"/>
    <s v="Women"/>
    <s v="Soccer"/>
    <s v="Phantom Gt"/>
    <s v="8"/>
    <n v="4"/>
    <n v="2342.16"/>
    <n v="0.25"/>
    <n v="7026.48"/>
    <d v="2025-04-20T00:00:00"/>
    <s v="Retail"/>
    <x v="3"/>
    <n v="1007"/>
  </r>
  <r>
    <n v="3761"/>
    <s v="Women"/>
    <s v="Basketball"/>
    <s v="Zoom Freak"/>
    <s v="L"/>
    <n v="4"/>
    <n v="2972.38"/>
    <n v="0.14000000000000001"/>
    <n v="10224.99"/>
    <d v="2024-11-18T00:00:00"/>
    <s v="Online"/>
    <x v="0"/>
    <n v="2569.7399999999998"/>
  </r>
  <r>
    <n v="3785"/>
    <s v="Kids"/>
    <s v="Lifestyle"/>
    <s v="Blazer Mid"/>
    <s v="Xl"/>
    <n v="3"/>
    <n v="6464"/>
    <n v="0.45"/>
    <n v="10665.6"/>
    <m/>
    <s v="Retail"/>
    <x v="1"/>
    <n v="698.11"/>
  </r>
  <r>
    <n v="3796"/>
    <s v="Women"/>
    <s v="Basketball"/>
    <s v="Zoom Freak"/>
    <s v=""/>
    <n v="4"/>
    <n v="6165.64"/>
    <n v="0.16"/>
    <n v="20716.55"/>
    <d v="2024-12-22T00:00:00"/>
    <s v="Online"/>
    <x v="1"/>
    <n v="2081.4299999999998"/>
  </r>
  <r>
    <n v="3874"/>
    <s v="Women"/>
    <s v="Basketball"/>
    <s v="Lebron 20"/>
    <s v="Xl"/>
    <n v="4"/>
    <n v="3305.6"/>
    <n v="0.7"/>
    <n v="3966.72"/>
    <d v="2024-08-27T00:00:00"/>
    <s v="Online"/>
    <x v="5"/>
    <n v="1605.13"/>
  </r>
  <r>
    <n v="3881"/>
    <s v="Women"/>
    <s v="Training"/>
    <s v="Superrep Go"/>
    <s v=""/>
    <n v="3"/>
    <n v="3656.98"/>
    <n v="0.06"/>
    <n v="10312.68"/>
    <m/>
    <s v="Online"/>
    <x v="0"/>
    <n v="1953.91"/>
  </r>
  <r>
    <n v="3894"/>
    <s v="Women"/>
    <s v="Soccer"/>
    <s v="Premier Iii"/>
    <s v="11"/>
    <n v="-1"/>
    <n v="5255.98"/>
    <n v="1.03"/>
    <n v="157.68"/>
    <d v="2024-06-08T00:00:00"/>
    <s v="Online"/>
    <x v="2"/>
    <n v="-1067.96"/>
  </r>
  <r>
    <n v="3897"/>
    <s v="Women"/>
    <s v="Soccer"/>
    <s v="Tiempo Legend"/>
    <s v="8"/>
    <n v="2"/>
    <n v="6050.27"/>
    <n v="0.69"/>
    <n v="3751.17"/>
    <m/>
    <s v="Retail"/>
    <x v="1"/>
    <n v="3332.49"/>
  </r>
  <r>
    <n v="3906"/>
    <s v="Men"/>
    <s v="Lifestyle"/>
    <s v="Dunk Low"/>
    <s v="Xl"/>
    <n v="4"/>
    <n v="7588.77"/>
    <n v="0.14000000000000001"/>
    <n v="26105.37"/>
    <d v="2024-09-04T00:00:00"/>
    <s v="Online"/>
    <x v="0"/>
    <n v="3435.73"/>
  </r>
  <r>
    <n v="3928"/>
    <s v="Men"/>
    <s v="Running"/>
    <s v="Pegasus Turbo"/>
    <s v=""/>
    <n v="2"/>
    <n v="5636.21"/>
    <n v="0.74"/>
    <n v="2930.83"/>
    <m/>
    <s v="Retail"/>
    <x v="1"/>
    <n v="-984.86"/>
  </r>
  <r>
    <n v="3929"/>
    <s v="Kids"/>
    <s v="Running"/>
    <s v="Free Rn"/>
    <s v=""/>
    <n v="1"/>
    <n v="4199.97"/>
    <n v="0.9"/>
    <n v="420"/>
    <d v="2025-05-14T00:00:00"/>
    <s v="Retail"/>
    <x v="3"/>
    <n v="-861.44"/>
  </r>
  <r>
    <n v="3932"/>
    <s v="Kids"/>
    <s v="Training"/>
    <s v="Superrep Go"/>
    <s v="L"/>
    <n v="4"/>
    <n v="4520.97"/>
    <n v="0.54"/>
    <n v="8318.58"/>
    <d v="2025-06-10T00:00:00"/>
    <s v="Retail"/>
    <x v="4"/>
    <n v="1289.3599999999999"/>
  </r>
  <r>
    <n v="3988"/>
    <s v="Kids"/>
    <s v="Lifestyle"/>
    <s v="Blazer Mid"/>
    <s v="M"/>
    <n v="4"/>
    <n v="7945.46"/>
    <n v="0.67"/>
    <n v="10488.01"/>
    <d v="2024-10-10T00:00:00"/>
    <s v="Online"/>
    <x v="2"/>
    <n v="3698.62"/>
  </r>
  <r>
    <n v="4008"/>
    <s v="Men"/>
    <s v="Basketball"/>
    <s v="Lebron 20"/>
    <s v="9"/>
    <n v="3"/>
    <n v="7737.27"/>
    <n v="7.0000000000000007E-2"/>
    <n v="21586.98"/>
    <d v="2023-12-15T00:00:00"/>
    <s v="Retail"/>
    <x v="0"/>
    <n v="180.31"/>
  </r>
  <r>
    <n v="4031"/>
    <s v="Men"/>
    <s v="Soccer"/>
    <s v="Phantom Gt"/>
    <s v=""/>
    <n v="2"/>
    <n v="4272.26"/>
    <n v="0.83"/>
    <n v="1452.57"/>
    <m/>
    <s v="Retail"/>
    <x v="5"/>
    <n v="1977.91"/>
  </r>
  <r>
    <n v="4033"/>
    <s v="Men"/>
    <s v="Lifestyle"/>
    <s v="Blazer Mid"/>
    <s v="L"/>
    <n v="4"/>
    <n v="4398.68"/>
    <n v="0.27"/>
    <n v="12844.15"/>
    <m/>
    <s v="Retail"/>
    <x v="4"/>
    <n v="3573.92"/>
  </r>
  <r>
    <n v="4043"/>
    <s v="Kids"/>
    <s v="Running"/>
    <s v="Air Zoom"/>
    <s v=""/>
    <n v="4"/>
    <n v="5235.22"/>
    <n v="0.51"/>
    <n v="10261.030000000001"/>
    <d v="2025-05-28T00:00:00"/>
    <s v="Online"/>
    <x v="0"/>
    <n v="3321.49"/>
  </r>
  <r>
    <n v="4066"/>
    <s v="Kids"/>
    <s v="Running"/>
    <s v="React Infinity"/>
    <s v="L"/>
    <n v="4"/>
    <n v="6599.26"/>
    <n v="0.85"/>
    <n v="3959.56"/>
    <d v="2025-06-29T00:00:00"/>
    <s v="Retail"/>
    <x v="4"/>
    <n v="3344.47"/>
  </r>
  <r>
    <n v="4088"/>
    <s v="Men"/>
    <s v="Training"/>
    <s v="Flex Trainer"/>
    <s v="M"/>
    <n v="2"/>
    <n v="5649.73"/>
    <n v="0.41"/>
    <n v="6666.68"/>
    <d v="2025-03-16T00:00:00"/>
    <s v="Retail"/>
    <x v="3"/>
    <n v="1548.1"/>
  </r>
  <r>
    <n v="4108"/>
    <s v="Kids"/>
    <s v="Running"/>
    <s v="Pegasus Turbo"/>
    <s v="L"/>
    <n v="2"/>
    <n v="2767.55"/>
    <n v="0.19"/>
    <n v="4483.43"/>
    <d v="2023-11-25T00:00:00"/>
    <s v="Online"/>
    <x v="5"/>
    <n v="1059.07"/>
  </r>
  <r>
    <n v="4220"/>
    <s v="Kids"/>
    <s v="Lifestyle"/>
    <s v="Dunk Low"/>
    <s v="M"/>
    <n v="2"/>
    <n v="2290.64"/>
    <n v="0.84"/>
    <n v="733"/>
    <d v="2025-01-31T00:00:00"/>
    <s v="Retail"/>
    <x v="1"/>
    <n v="608.16"/>
  </r>
  <r>
    <n v="4249"/>
    <s v="Kids"/>
    <s v="Training"/>
    <s v="Flex Trainer"/>
    <s v="L"/>
    <n v="1"/>
    <n v="2902.95"/>
    <n v="0.6"/>
    <n v="1161.18"/>
    <d v="2024-10-11T00:00:00"/>
    <s v="Retail"/>
    <x v="4"/>
    <n v="-855.08"/>
  </r>
  <r>
    <n v="4283"/>
    <s v="Men"/>
    <s v="Training"/>
    <s v="Zoomx Invincible"/>
    <s v="M"/>
    <n v="1"/>
    <n v="9649.36"/>
    <n v="0.95"/>
    <n v="482.47"/>
    <d v="2025-02-26T00:00:00"/>
    <s v="Retail"/>
    <x v="4"/>
    <n v="1158.69"/>
  </r>
  <r>
    <n v="4331"/>
    <s v="Women"/>
    <s v="Training"/>
    <s v="Superrep Go"/>
    <s v=""/>
    <n v="2"/>
    <n v="4574.53"/>
    <n v="0.04"/>
    <n v="8783.1"/>
    <d v="2025-01-03T00:00:00"/>
    <s v="Retail"/>
    <x v="5"/>
    <n v="3534.47"/>
  </r>
  <r>
    <n v="4370"/>
    <s v="Women"/>
    <s v="Running"/>
    <s v="Pegasus Turbo"/>
    <s v="L"/>
    <n v="2"/>
    <n v="5046.05"/>
    <n v="0.38"/>
    <n v="6257.1"/>
    <d v="2024-10-13T00:00:00"/>
    <s v="Retail"/>
    <x v="3"/>
    <n v="2530.73"/>
  </r>
  <r>
    <n v="4386"/>
    <s v="Kids"/>
    <s v="Basketball"/>
    <s v="Zoom Freak"/>
    <s v=""/>
    <n v="2"/>
    <n v="3432.35"/>
    <n v="0.34"/>
    <n v="4530.7"/>
    <d v="2025-06-14T00:00:00"/>
    <s v="Online"/>
    <x v="4"/>
    <n v="2576.11"/>
  </r>
  <r>
    <n v="4400"/>
    <s v="Women"/>
    <s v="Lifestyle"/>
    <s v="Air Force 1"/>
    <s v="M"/>
    <n v="4"/>
    <n v="7798.57"/>
    <n v="0.28000000000000003"/>
    <n v="22459.88"/>
    <d v="2025-05-27T00:00:00"/>
    <s v="Retail"/>
    <x v="5"/>
    <n v="1334.4"/>
  </r>
  <r>
    <n v="4410"/>
    <s v="Men"/>
    <s v="Basketball"/>
    <s v="Kyrie Flytrap"/>
    <s v="Xl"/>
    <n v="-1"/>
    <n v="5967.57"/>
    <n v="1.1000000000000001"/>
    <n v="596.76"/>
    <d v="2024-01-26T00:00:00"/>
    <s v="Retail"/>
    <x v="3"/>
    <n v="-1011.68"/>
  </r>
  <r>
    <n v="4418"/>
    <s v="Women"/>
    <s v="Training"/>
    <s v="Metcon 7"/>
    <s v="Xl"/>
    <n v="2"/>
    <n v="3139.93"/>
    <n v="0.46"/>
    <n v="3391.12"/>
    <m/>
    <s v="Online"/>
    <x v="5"/>
    <n v="3548.13"/>
  </r>
  <r>
    <n v="4445"/>
    <s v="Women"/>
    <s v="Training"/>
    <s v="Metcon 7"/>
    <s v="Xl"/>
    <n v="1"/>
    <n v="5915.27"/>
    <n v="0.12"/>
    <n v="5205.4399999999996"/>
    <d v="2024-12-15T00:00:00"/>
    <s v="Retail"/>
    <x v="3"/>
    <n v="3456.95"/>
  </r>
  <r>
    <n v="4446"/>
    <s v="Men"/>
    <s v="Soccer"/>
    <s v="Mercurial Superfly"/>
    <s v="M"/>
    <n v="2"/>
    <n v="3469.31"/>
    <n v="0.28000000000000003"/>
    <n v="4995.8100000000004"/>
    <d v="2025-01-26T00:00:00"/>
    <s v="Retail"/>
    <x v="2"/>
    <n v="2671.58"/>
  </r>
  <r>
    <n v="4463"/>
    <s v="Men"/>
    <s v="Soccer"/>
    <s v="Premier Iii"/>
    <s v="11"/>
    <n v="3"/>
    <n v="8317.5300000000007"/>
    <n v="0.6"/>
    <n v="9981.0400000000009"/>
    <d v="2025-06-07T00:00:00"/>
    <s v="Retail"/>
    <x v="2"/>
    <n v="1821.65"/>
  </r>
  <r>
    <n v="4484"/>
    <s v="Men"/>
    <s v="Basketball"/>
    <s v="Air Jordan"/>
    <s v="11"/>
    <n v="3"/>
    <n v="5981.92"/>
    <n v="0.8"/>
    <n v="3589.15"/>
    <d v="2024-12-12T00:00:00"/>
    <s v="Retail"/>
    <x v="0"/>
    <n v="-751.0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
  <r>
    <n v="2016"/>
    <x v="0"/>
    <x v="0"/>
    <x v="0"/>
    <s v="M"/>
    <n v="1"/>
    <n v="9871.75"/>
    <n v="0.3"/>
    <n v="6910.22"/>
    <m/>
    <x v="0"/>
    <x v="0"/>
    <n v="2452.69"/>
  </r>
  <r>
    <n v="2031"/>
    <x v="1"/>
    <x v="1"/>
    <x v="1"/>
    <s v=""/>
    <n v="4"/>
    <n v="3493.04"/>
    <n v="0.82"/>
    <n v="2514.9899999999998"/>
    <d v="2024-05-09T00:00:00"/>
    <x v="1"/>
    <x v="1"/>
    <n v="350.7"/>
  </r>
  <r>
    <n v="2063"/>
    <x v="0"/>
    <x v="0"/>
    <x v="0"/>
    <s v="M"/>
    <n v="1"/>
    <n v="9751"/>
    <n v="0.16"/>
    <n v="8190.84"/>
    <d v="2024-09-06T00:00:00"/>
    <x v="0"/>
    <x v="2"/>
    <n v="1130.31"/>
  </r>
  <r>
    <n v="2071"/>
    <x v="2"/>
    <x v="2"/>
    <x v="2"/>
    <s v="M"/>
    <n v="3"/>
    <n v="7849.81"/>
    <n v="0.49"/>
    <n v="12010.21"/>
    <d v="2025-01-12T00:00:00"/>
    <x v="0"/>
    <x v="2"/>
    <n v="-882.96"/>
  </r>
  <r>
    <n v="2089"/>
    <x v="0"/>
    <x v="3"/>
    <x v="3"/>
    <s v="L"/>
    <n v="2"/>
    <n v="6874.77"/>
    <n v="0.6"/>
    <n v="5499.82"/>
    <d v="2024-12-02T00:00:00"/>
    <x v="1"/>
    <x v="3"/>
    <n v="-1076.6600000000001"/>
  </r>
  <r>
    <n v="2114"/>
    <x v="0"/>
    <x v="3"/>
    <x v="3"/>
    <s v="Xl"/>
    <n v="1"/>
    <n v="3167.33"/>
    <n v="0.53"/>
    <n v="1488.65"/>
    <m/>
    <x v="0"/>
    <x v="2"/>
    <n v="1567.37"/>
  </r>
  <r>
    <n v="2135"/>
    <x v="1"/>
    <x v="0"/>
    <x v="4"/>
    <s v="L"/>
    <n v="2"/>
    <n v="9106.61"/>
    <n v="0.74"/>
    <n v="4735.4399999999996"/>
    <d v="2024-11-03T00:00:00"/>
    <x v="0"/>
    <x v="0"/>
    <n v="2422.38"/>
  </r>
  <r>
    <n v="2150"/>
    <x v="0"/>
    <x v="0"/>
    <x v="5"/>
    <s v="M"/>
    <n v="2"/>
    <n v="3313.21"/>
    <n v="0.48"/>
    <n v="3445.74"/>
    <d v="2025-07-06T00:00:00"/>
    <x v="1"/>
    <x v="4"/>
    <n v="3221.62"/>
  </r>
  <r>
    <n v="2169"/>
    <x v="2"/>
    <x v="3"/>
    <x v="3"/>
    <s v=""/>
    <n v="4"/>
    <n v="4046.05"/>
    <n v="0.01"/>
    <n v="16022.36"/>
    <d v="2024-12-14T00:00:00"/>
    <x v="0"/>
    <x v="1"/>
    <n v="1057.58"/>
  </r>
  <r>
    <n v="2185"/>
    <x v="0"/>
    <x v="3"/>
    <x v="6"/>
    <s v="Xl"/>
    <n v="4"/>
    <n v="4207.4399999999996"/>
    <n v="0.59"/>
    <n v="6900.2"/>
    <d v="2025-06-08T00:00:00"/>
    <x v="1"/>
    <x v="5"/>
    <n v="-615.48"/>
  </r>
  <r>
    <n v="2202"/>
    <x v="1"/>
    <x v="0"/>
    <x v="7"/>
    <s v="M"/>
    <n v="-1"/>
    <n v="7918.93"/>
    <n v="1.06"/>
    <n v="475.14"/>
    <d v="2025-07-04T00:00:00"/>
    <x v="0"/>
    <x v="4"/>
    <n v="1994.42"/>
  </r>
  <r>
    <n v="2222"/>
    <x v="1"/>
    <x v="3"/>
    <x v="6"/>
    <s v="Xl"/>
    <n v="2"/>
    <n v="8897.19"/>
    <n v="0.11"/>
    <n v="15837"/>
    <d v="2024-12-21T00:00:00"/>
    <x v="0"/>
    <x v="3"/>
    <n v="2821.69"/>
  </r>
  <r>
    <n v="2248"/>
    <x v="1"/>
    <x v="3"/>
    <x v="8"/>
    <s v="M"/>
    <n v="4"/>
    <n v="8249.9599999999991"/>
    <n v="0.24"/>
    <n v="25079.88"/>
    <d v="2024-01-16T00:00:00"/>
    <x v="1"/>
    <x v="4"/>
    <n v="1625.14"/>
  </r>
  <r>
    <n v="2300"/>
    <x v="1"/>
    <x v="0"/>
    <x v="0"/>
    <s v="L"/>
    <n v="3"/>
    <n v="6331.64"/>
    <n v="0.78"/>
    <n v="4178.88"/>
    <d v="2024-08-17T00:00:00"/>
    <x v="0"/>
    <x v="1"/>
    <n v="3380.28"/>
  </r>
  <r>
    <n v="2306"/>
    <x v="2"/>
    <x v="0"/>
    <x v="0"/>
    <s v=""/>
    <n v="1"/>
    <n v="8267.56"/>
    <n v="0.28999999999999998"/>
    <n v="5869.97"/>
    <d v="2024-11-10T00:00:00"/>
    <x v="0"/>
    <x v="4"/>
    <n v="476.25"/>
  </r>
  <r>
    <n v="2328"/>
    <x v="1"/>
    <x v="2"/>
    <x v="9"/>
    <s v="6"/>
    <n v="2"/>
    <n v="6449.46"/>
    <n v="0.28999999999999998"/>
    <n v="9158.23"/>
    <d v="2024-11-09T00:00:00"/>
    <x v="1"/>
    <x v="3"/>
    <n v="39.69"/>
  </r>
  <r>
    <n v="2367"/>
    <x v="2"/>
    <x v="2"/>
    <x v="10"/>
    <s v="Xl"/>
    <n v="4"/>
    <n v="6202.99"/>
    <n v="0.84"/>
    <n v="3969.91"/>
    <d v="2024-11-12T00:00:00"/>
    <x v="1"/>
    <x v="4"/>
    <n v="-202.12"/>
  </r>
  <r>
    <n v="2412"/>
    <x v="2"/>
    <x v="2"/>
    <x v="2"/>
    <s v="Xl"/>
    <n v="1"/>
    <n v="4920.3"/>
    <n v="0.14000000000000001"/>
    <n v="4231.46"/>
    <m/>
    <x v="0"/>
    <x v="3"/>
    <n v="1135.72"/>
  </r>
  <r>
    <n v="2413"/>
    <x v="1"/>
    <x v="3"/>
    <x v="3"/>
    <s v="Xl"/>
    <n v="3"/>
    <n v="7005.67"/>
    <n v="0.15"/>
    <n v="17864.46"/>
    <m/>
    <x v="0"/>
    <x v="5"/>
    <n v="2329.98"/>
  </r>
  <r>
    <n v="2432"/>
    <x v="0"/>
    <x v="0"/>
    <x v="4"/>
    <s v="L"/>
    <n v="1"/>
    <n v="3036.61"/>
    <n v="0.86"/>
    <n v="425.13"/>
    <d v="2024-10-26T00:00:00"/>
    <x v="1"/>
    <x v="3"/>
    <n v="3754.3"/>
  </r>
  <r>
    <n v="2460"/>
    <x v="0"/>
    <x v="0"/>
    <x v="4"/>
    <s v="Xl"/>
    <n v="2"/>
    <n v="5482.96"/>
    <n v="0.35"/>
    <n v="7127.85"/>
    <d v="2024-11-04T00:00:00"/>
    <x v="1"/>
    <x v="5"/>
    <n v="-823.8"/>
  </r>
  <r>
    <n v="2481"/>
    <x v="0"/>
    <x v="1"/>
    <x v="1"/>
    <s v="7"/>
    <n v="1"/>
    <n v="9145.3700000000008"/>
    <n v="7.0000000000000007E-2"/>
    <n v="8505.19"/>
    <d v="2025-04-17T00:00:00"/>
    <x v="1"/>
    <x v="2"/>
    <n v="1755.19"/>
  </r>
  <r>
    <n v="2487"/>
    <x v="1"/>
    <x v="4"/>
    <x v="11"/>
    <s v="L"/>
    <n v="3"/>
    <n v="5881.13"/>
    <n v="0.8"/>
    <n v="3528.68"/>
    <d v="2025-03-31T00:00:00"/>
    <x v="1"/>
    <x v="0"/>
    <n v="2108.4"/>
  </r>
  <r>
    <n v="2490"/>
    <x v="0"/>
    <x v="1"/>
    <x v="1"/>
    <s v="L"/>
    <n v="3"/>
    <n v="5015.1899999999996"/>
    <n v="0.75"/>
    <n v="3761.39"/>
    <d v="2024-11-26T00:00:00"/>
    <x v="1"/>
    <x v="0"/>
    <n v="-494.53"/>
  </r>
  <r>
    <n v="2496"/>
    <x v="2"/>
    <x v="4"/>
    <x v="12"/>
    <s v="M"/>
    <n v="2"/>
    <n v="4110.72"/>
    <n v="0.32"/>
    <n v="5590.58"/>
    <d v="2024-12-24T00:00:00"/>
    <x v="0"/>
    <x v="4"/>
    <n v="3894.95"/>
  </r>
  <r>
    <n v="2535"/>
    <x v="1"/>
    <x v="1"/>
    <x v="13"/>
    <s v="Xl"/>
    <n v="2"/>
    <n v="2786.84"/>
    <n v="0.21"/>
    <n v="4403.21"/>
    <d v="2025-01-25T00:00:00"/>
    <x v="1"/>
    <x v="3"/>
    <n v="3345.36"/>
  </r>
  <r>
    <n v="2550"/>
    <x v="1"/>
    <x v="1"/>
    <x v="1"/>
    <s v="Xl"/>
    <n v="1"/>
    <n v="6121.21"/>
    <n v="0.05"/>
    <n v="5815.15"/>
    <d v="2023-09-08T00:00:00"/>
    <x v="1"/>
    <x v="5"/>
    <n v="2470.08"/>
  </r>
  <r>
    <n v="2563"/>
    <x v="1"/>
    <x v="1"/>
    <x v="14"/>
    <s v="M"/>
    <n v="2"/>
    <n v="9443.35"/>
    <n v="0.54"/>
    <n v="8687.8799999999992"/>
    <d v="2025-04-13T00:00:00"/>
    <x v="0"/>
    <x v="5"/>
    <n v="2706.61"/>
  </r>
  <r>
    <n v="2569"/>
    <x v="0"/>
    <x v="0"/>
    <x v="0"/>
    <s v="L"/>
    <n v="2"/>
    <n v="9605.11"/>
    <n v="0.88"/>
    <n v="2305.23"/>
    <d v="2024-08-24T00:00:00"/>
    <x v="1"/>
    <x v="0"/>
    <n v="128.88999999999999"/>
  </r>
  <r>
    <n v="2594"/>
    <x v="0"/>
    <x v="3"/>
    <x v="6"/>
    <s v="Xl"/>
    <n v="3"/>
    <n v="7944.34"/>
    <n v="0.67"/>
    <n v="7864.9"/>
    <d v="2024-02-23T00:00:00"/>
    <x v="0"/>
    <x v="0"/>
    <n v="1534.91"/>
  </r>
  <r>
    <n v="2613"/>
    <x v="0"/>
    <x v="2"/>
    <x v="9"/>
    <s v="7"/>
    <n v="3"/>
    <n v="4374.83"/>
    <n v="0.27"/>
    <n v="9580.8799999999992"/>
    <m/>
    <x v="0"/>
    <x v="1"/>
    <n v="1473.37"/>
  </r>
  <r>
    <n v="2615"/>
    <x v="0"/>
    <x v="1"/>
    <x v="15"/>
    <s v="Xl"/>
    <n v="3"/>
    <n v="3042.37"/>
    <n v="0.12"/>
    <n v="8031.86"/>
    <d v="2025-03-24T00:00:00"/>
    <x v="1"/>
    <x v="2"/>
    <n v="2105.48"/>
  </r>
  <r>
    <n v="2621"/>
    <x v="2"/>
    <x v="1"/>
    <x v="15"/>
    <s v="L"/>
    <n v="3"/>
    <n v="6466.57"/>
    <n v="0.59"/>
    <n v="7953.88"/>
    <d v="2024-05-19T00:00:00"/>
    <x v="1"/>
    <x v="4"/>
    <n v="-1152.8599999999999"/>
  </r>
  <r>
    <n v="2709"/>
    <x v="2"/>
    <x v="4"/>
    <x v="16"/>
    <s v="10"/>
    <n v="1"/>
    <n v="6302.98"/>
    <n v="0.48"/>
    <n v="3277.55"/>
    <d v="2025-03-08T00:00:00"/>
    <x v="0"/>
    <x v="1"/>
    <n v="2835.93"/>
  </r>
  <r>
    <n v="2713"/>
    <x v="1"/>
    <x v="2"/>
    <x v="17"/>
    <s v="L"/>
    <n v="1"/>
    <n v="7877.36"/>
    <n v="0.55000000000000004"/>
    <n v="3544.81"/>
    <d v="2025-05-10T00:00:00"/>
    <x v="0"/>
    <x v="5"/>
    <n v="3663.49"/>
  </r>
  <r>
    <n v="2780"/>
    <x v="1"/>
    <x v="3"/>
    <x v="8"/>
    <s v="6"/>
    <n v="1"/>
    <n v="4308.75"/>
    <n v="0.32"/>
    <n v="2929.95"/>
    <m/>
    <x v="1"/>
    <x v="0"/>
    <n v="799.35"/>
  </r>
  <r>
    <n v="2781"/>
    <x v="1"/>
    <x v="3"/>
    <x v="8"/>
    <s v="12"/>
    <n v="1"/>
    <n v="6546.59"/>
    <n v="0.68"/>
    <n v="2094.91"/>
    <d v="2023-09-03T00:00:00"/>
    <x v="0"/>
    <x v="4"/>
    <n v="1504.31"/>
  </r>
  <r>
    <n v="2799"/>
    <x v="2"/>
    <x v="3"/>
    <x v="18"/>
    <s v=""/>
    <n v="3"/>
    <n v="2359.4699999999998"/>
    <n v="0.54"/>
    <n v="3256.07"/>
    <d v="2025-07-08T00:00:00"/>
    <x v="1"/>
    <x v="3"/>
    <n v="3165.65"/>
  </r>
  <r>
    <n v="2810"/>
    <x v="1"/>
    <x v="4"/>
    <x v="11"/>
    <s v="7"/>
    <n v="2"/>
    <n v="2943.44"/>
    <n v="0.53"/>
    <n v="2766.83"/>
    <m/>
    <x v="0"/>
    <x v="0"/>
    <n v="405.67"/>
  </r>
  <r>
    <n v="2812"/>
    <x v="1"/>
    <x v="0"/>
    <x v="5"/>
    <s v=""/>
    <n v="2"/>
    <n v="9507.39"/>
    <n v="0.01"/>
    <n v="18824.63"/>
    <d v="2024-08-08T00:00:00"/>
    <x v="1"/>
    <x v="5"/>
    <n v="2570.0100000000002"/>
  </r>
  <r>
    <n v="2844"/>
    <x v="1"/>
    <x v="2"/>
    <x v="9"/>
    <s v=""/>
    <n v="2"/>
    <n v="6495.53"/>
    <n v="0.23"/>
    <n v="10003.120000000001"/>
    <m/>
    <x v="0"/>
    <x v="3"/>
    <n v="-951.85"/>
  </r>
  <r>
    <n v="2904"/>
    <x v="0"/>
    <x v="1"/>
    <x v="13"/>
    <s v="9"/>
    <n v="2"/>
    <n v="8644.67"/>
    <n v="0.54"/>
    <n v="7953.1"/>
    <d v="2025-04-29T00:00:00"/>
    <x v="1"/>
    <x v="4"/>
    <n v="2711.75"/>
  </r>
  <r>
    <n v="2912"/>
    <x v="2"/>
    <x v="4"/>
    <x v="12"/>
    <s v="Xl"/>
    <n v="2"/>
    <n v="9839.6299999999992"/>
    <n v="0.98"/>
    <n v="393.59"/>
    <d v="2024-03-07T00:00:00"/>
    <x v="1"/>
    <x v="4"/>
    <n v="1218.22"/>
  </r>
  <r>
    <n v="2936"/>
    <x v="0"/>
    <x v="3"/>
    <x v="3"/>
    <s v="Xl"/>
    <n v="1"/>
    <n v="6496.58"/>
    <n v="0.28999999999999998"/>
    <n v="4612.57"/>
    <d v="2024-07-31T00:00:00"/>
    <x v="0"/>
    <x v="2"/>
    <n v="1933.1"/>
  </r>
  <r>
    <n v="2942"/>
    <x v="0"/>
    <x v="3"/>
    <x v="3"/>
    <s v="10"/>
    <n v="4"/>
    <n v="5222.3900000000003"/>
    <n v="0.56999999999999995"/>
    <n v="8982.51"/>
    <d v="2025-04-16T00:00:00"/>
    <x v="1"/>
    <x v="4"/>
    <n v="-68.53"/>
  </r>
  <r>
    <n v="2977"/>
    <x v="2"/>
    <x v="3"/>
    <x v="6"/>
    <s v="8"/>
    <n v="3"/>
    <n v="2959.26"/>
    <n v="0.37"/>
    <n v="5593"/>
    <m/>
    <x v="1"/>
    <x v="5"/>
    <n v="-821.76"/>
  </r>
  <r>
    <n v="3030"/>
    <x v="1"/>
    <x v="1"/>
    <x v="14"/>
    <s v=""/>
    <n v="3"/>
    <n v="6969.28"/>
    <n v="0.57999999999999996"/>
    <n v="8781.2900000000009"/>
    <d v="2023-08-08T00:00:00"/>
    <x v="1"/>
    <x v="5"/>
    <n v="98.19"/>
  </r>
  <r>
    <n v="3047"/>
    <x v="0"/>
    <x v="0"/>
    <x v="7"/>
    <s v=""/>
    <n v="3"/>
    <n v="6175.84"/>
    <n v="0.9"/>
    <n v="1852.75"/>
    <d v="2024-10-14T00:00:00"/>
    <x v="1"/>
    <x v="0"/>
    <n v="-960.94"/>
  </r>
  <r>
    <n v="3062"/>
    <x v="0"/>
    <x v="1"/>
    <x v="15"/>
    <s v=""/>
    <n v="1"/>
    <n v="6936.34"/>
    <n v="0.46"/>
    <n v="3745.62"/>
    <d v="2025-03-19T00:00:00"/>
    <x v="0"/>
    <x v="3"/>
    <n v="1647.34"/>
  </r>
  <r>
    <n v="3091"/>
    <x v="0"/>
    <x v="0"/>
    <x v="0"/>
    <s v=""/>
    <n v="1"/>
    <n v="8666.84"/>
    <n v="0.3"/>
    <n v="6066.79"/>
    <d v="2025-02-13T00:00:00"/>
    <x v="1"/>
    <x v="0"/>
    <n v="204.77"/>
  </r>
  <r>
    <n v="3127"/>
    <x v="1"/>
    <x v="3"/>
    <x v="6"/>
    <s v="Xl"/>
    <n v="1"/>
    <n v="4614.33"/>
    <n v="0.47"/>
    <n v="2445.59"/>
    <d v="2024-10-07T00:00:00"/>
    <x v="1"/>
    <x v="2"/>
    <n v="-440.44"/>
  </r>
  <r>
    <n v="3143"/>
    <x v="1"/>
    <x v="3"/>
    <x v="3"/>
    <s v="7"/>
    <n v="3"/>
    <n v="3938.59"/>
    <n v="0.98"/>
    <n v="236.32"/>
    <d v="2024-08-23T00:00:00"/>
    <x v="1"/>
    <x v="3"/>
    <n v="635.39"/>
  </r>
  <r>
    <n v="3165"/>
    <x v="0"/>
    <x v="1"/>
    <x v="15"/>
    <s v="Xl"/>
    <n v="2"/>
    <n v="2530.29"/>
    <n v="0.28999999999999998"/>
    <n v="3593.01"/>
    <d v="2025-02-17T00:00:00"/>
    <x v="1"/>
    <x v="5"/>
    <n v="3264.03"/>
  </r>
  <r>
    <n v="3177"/>
    <x v="2"/>
    <x v="2"/>
    <x v="17"/>
    <s v="L"/>
    <n v="3"/>
    <n v="7042.12"/>
    <n v="0.89"/>
    <n v="2323.9"/>
    <m/>
    <x v="1"/>
    <x v="3"/>
    <n v="-411.55"/>
  </r>
  <r>
    <n v="3189"/>
    <x v="1"/>
    <x v="0"/>
    <x v="5"/>
    <s v="L"/>
    <n v="3"/>
    <n v="6730.48"/>
    <n v="0.33"/>
    <n v="13528.26"/>
    <d v="2025-02-08T00:00:00"/>
    <x v="1"/>
    <x v="5"/>
    <n v="1456.87"/>
  </r>
  <r>
    <n v="3217"/>
    <x v="1"/>
    <x v="1"/>
    <x v="13"/>
    <s v="6"/>
    <n v="1"/>
    <n v="4819.75"/>
    <n v="0.22"/>
    <n v="3759.41"/>
    <d v="2025-02-15T00:00:00"/>
    <x v="0"/>
    <x v="2"/>
    <n v="-514.9"/>
  </r>
  <r>
    <n v="3221"/>
    <x v="0"/>
    <x v="0"/>
    <x v="5"/>
    <s v=""/>
    <n v="2"/>
    <n v="9682.68"/>
    <n v="0.88"/>
    <n v="2323.84"/>
    <d v="2024-09-21T00:00:00"/>
    <x v="1"/>
    <x v="2"/>
    <n v="1650.44"/>
  </r>
  <r>
    <n v="3224"/>
    <x v="0"/>
    <x v="1"/>
    <x v="15"/>
    <s v=""/>
    <n v="1"/>
    <n v="9872.3799999999992"/>
    <n v="0.18"/>
    <n v="8095.35"/>
    <d v="2025-03-18T00:00:00"/>
    <x v="0"/>
    <x v="2"/>
    <n v="233.85"/>
  </r>
  <r>
    <n v="3238"/>
    <x v="0"/>
    <x v="3"/>
    <x v="18"/>
    <s v="Xl"/>
    <n v="1"/>
    <n v="4420.21"/>
    <n v="0.32"/>
    <n v="3005.74"/>
    <m/>
    <x v="0"/>
    <x v="3"/>
    <n v="705.58"/>
  </r>
  <r>
    <n v="3274"/>
    <x v="1"/>
    <x v="3"/>
    <x v="18"/>
    <s v="L"/>
    <n v="3"/>
    <n v="6031.14"/>
    <n v="0.15"/>
    <n v="15379.41"/>
    <d v="2025-05-03T00:00:00"/>
    <x v="0"/>
    <x v="0"/>
    <n v="169.05"/>
  </r>
  <r>
    <n v="3279"/>
    <x v="2"/>
    <x v="1"/>
    <x v="14"/>
    <s v="Xl"/>
    <n v="4"/>
    <n v="2572.41"/>
    <n v="0.1"/>
    <n v="9260.68"/>
    <d v="2024-11-09T00:00:00"/>
    <x v="0"/>
    <x v="1"/>
    <n v="3098.28"/>
  </r>
  <r>
    <n v="3357"/>
    <x v="2"/>
    <x v="3"/>
    <x v="3"/>
    <s v="M"/>
    <n v="4"/>
    <n v="6206.45"/>
    <n v="0.5"/>
    <n v="12412.9"/>
    <d v="2025-04-05T00:00:00"/>
    <x v="1"/>
    <x v="1"/>
    <n v="678.42"/>
  </r>
  <r>
    <n v="3379"/>
    <x v="1"/>
    <x v="0"/>
    <x v="0"/>
    <s v=""/>
    <n v="2"/>
    <n v="5000.49"/>
    <n v="0.86"/>
    <n v="1400.14"/>
    <d v="2024-10-23T00:00:00"/>
    <x v="0"/>
    <x v="2"/>
    <n v="3000.14"/>
  </r>
  <r>
    <n v="3409"/>
    <x v="2"/>
    <x v="4"/>
    <x v="11"/>
    <s v="M"/>
    <n v="1"/>
    <n v="6312.01"/>
    <n v="0.3"/>
    <n v="4418.41"/>
    <d v="2024-09-08T00:00:00"/>
    <x v="0"/>
    <x v="1"/>
    <n v="-1106.07"/>
  </r>
  <r>
    <n v="3428"/>
    <x v="0"/>
    <x v="0"/>
    <x v="0"/>
    <s v="6"/>
    <n v="1"/>
    <n v="2825.86"/>
    <n v="0.23"/>
    <n v="2175.91"/>
    <d v="2024-12-03T00:00:00"/>
    <x v="1"/>
    <x v="4"/>
    <n v="625.29999999999995"/>
  </r>
  <r>
    <n v="3466"/>
    <x v="1"/>
    <x v="0"/>
    <x v="7"/>
    <s v=""/>
    <n v="2"/>
    <n v="6498.22"/>
    <n v="0.5"/>
    <n v="6498.22"/>
    <d v="2024-10-24T00:00:00"/>
    <x v="0"/>
    <x v="3"/>
    <n v="-360.53"/>
  </r>
  <r>
    <n v="3468"/>
    <x v="1"/>
    <x v="1"/>
    <x v="15"/>
    <s v=""/>
    <n v="4"/>
    <n v="9577.99"/>
    <n v="0.93"/>
    <n v="2681.84"/>
    <m/>
    <x v="1"/>
    <x v="5"/>
    <n v="-259.93"/>
  </r>
  <r>
    <n v="3534"/>
    <x v="2"/>
    <x v="0"/>
    <x v="4"/>
    <s v=""/>
    <n v="3"/>
    <n v="3280.57"/>
    <n v="0.62"/>
    <n v="3739.85"/>
    <d v="2024-11-09T00:00:00"/>
    <x v="0"/>
    <x v="5"/>
    <n v="427.76"/>
  </r>
  <r>
    <n v="3573"/>
    <x v="1"/>
    <x v="0"/>
    <x v="0"/>
    <s v=""/>
    <n v="1"/>
    <n v="6830.98"/>
    <n v="0.39"/>
    <n v="4166.8999999999996"/>
    <d v="2025-03-18T00:00:00"/>
    <x v="0"/>
    <x v="3"/>
    <n v="-175.76"/>
  </r>
  <r>
    <n v="3662"/>
    <x v="2"/>
    <x v="2"/>
    <x v="9"/>
    <s v=""/>
    <n v="4"/>
    <n v="9032.9"/>
    <n v="0.64"/>
    <n v="13007.38"/>
    <m/>
    <x v="1"/>
    <x v="4"/>
    <n v="131.76"/>
  </r>
  <r>
    <n v="3667"/>
    <x v="2"/>
    <x v="4"/>
    <x v="11"/>
    <s v="M"/>
    <n v="4"/>
    <n v="9386.2000000000007"/>
    <n v="0.01"/>
    <n v="37169.35"/>
    <m/>
    <x v="1"/>
    <x v="2"/>
    <n v="-1121.02"/>
  </r>
  <r>
    <n v="3672"/>
    <x v="0"/>
    <x v="1"/>
    <x v="13"/>
    <s v="7"/>
    <n v="3"/>
    <n v="7127.18"/>
    <n v="0.32"/>
    <n v="14539.45"/>
    <d v="2024-08-16T00:00:00"/>
    <x v="1"/>
    <x v="1"/>
    <n v="2651.63"/>
  </r>
  <r>
    <n v="3680"/>
    <x v="1"/>
    <x v="3"/>
    <x v="3"/>
    <s v="Xl"/>
    <n v="3"/>
    <n v="8835.41"/>
    <n v="0.92"/>
    <n v="2120.5"/>
    <d v="2025-01-27T00:00:00"/>
    <x v="0"/>
    <x v="1"/>
    <n v="-746.28"/>
  </r>
  <r>
    <n v="3719"/>
    <x v="1"/>
    <x v="4"/>
    <x v="16"/>
    <s v=""/>
    <n v="2"/>
    <n v="5943.38"/>
    <n v="0.23"/>
    <n v="9152.81"/>
    <d v="2025-06-21T00:00:00"/>
    <x v="1"/>
    <x v="4"/>
    <n v="3260.51"/>
  </r>
  <r>
    <n v="3722"/>
    <x v="2"/>
    <x v="3"/>
    <x v="6"/>
    <s v="7"/>
    <n v="1"/>
    <n v="9335"/>
    <n v="0.22"/>
    <n v="7281.3"/>
    <d v="2023-11-21T00:00:00"/>
    <x v="0"/>
    <x v="3"/>
    <n v="1787.45"/>
  </r>
  <r>
    <n v="3738"/>
    <x v="1"/>
    <x v="1"/>
    <x v="1"/>
    <s v="11"/>
    <n v="1"/>
    <n v="6968.08"/>
    <n v="0.02"/>
    <n v="6828.72"/>
    <d v="2025-03-30T00:00:00"/>
    <x v="1"/>
    <x v="1"/>
    <n v="-673.94"/>
  </r>
  <r>
    <n v="3741"/>
    <x v="2"/>
    <x v="2"/>
    <x v="17"/>
    <s v="L"/>
    <n v="2"/>
    <n v="8927.2199999999993"/>
    <n v="0.2"/>
    <n v="14283.55"/>
    <d v="2025-07-13T00:00:00"/>
    <x v="0"/>
    <x v="5"/>
    <n v="821.32"/>
  </r>
  <r>
    <n v="3755"/>
    <x v="0"/>
    <x v="1"/>
    <x v="15"/>
    <s v="8"/>
    <n v="4"/>
    <n v="2342.16"/>
    <n v="0.25"/>
    <n v="7026.48"/>
    <d v="2025-04-20T00:00:00"/>
    <x v="0"/>
    <x v="3"/>
    <n v="1007"/>
  </r>
  <r>
    <n v="3761"/>
    <x v="0"/>
    <x v="0"/>
    <x v="4"/>
    <s v="L"/>
    <n v="4"/>
    <n v="2972.38"/>
    <n v="0.14000000000000001"/>
    <n v="10224.99"/>
    <d v="2024-11-18T00:00:00"/>
    <x v="1"/>
    <x v="0"/>
    <n v="2569.7399999999998"/>
  </r>
  <r>
    <n v="3785"/>
    <x v="2"/>
    <x v="2"/>
    <x v="2"/>
    <s v="Xl"/>
    <n v="3"/>
    <n v="6464"/>
    <n v="0.45"/>
    <n v="10665.6"/>
    <m/>
    <x v="0"/>
    <x v="1"/>
    <n v="698.11"/>
  </r>
  <r>
    <n v="3796"/>
    <x v="0"/>
    <x v="0"/>
    <x v="4"/>
    <s v=""/>
    <n v="4"/>
    <n v="6165.64"/>
    <n v="0.16"/>
    <n v="20716.55"/>
    <d v="2024-12-22T00:00:00"/>
    <x v="1"/>
    <x v="1"/>
    <n v="2081.4299999999998"/>
  </r>
  <r>
    <n v="3874"/>
    <x v="0"/>
    <x v="0"/>
    <x v="5"/>
    <s v="Xl"/>
    <n v="4"/>
    <n v="3305.6"/>
    <n v="0.7"/>
    <n v="3966.72"/>
    <d v="2024-08-27T00:00:00"/>
    <x v="1"/>
    <x v="5"/>
    <n v="1605.13"/>
  </r>
  <r>
    <n v="3881"/>
    <x v="0"/>
    <x v="3"/>
    <x v="18"/>
    <s v=""/>
    <n v="3"/>
    <n v="3656.98"/>
    <n v="0.06"/>
    <n v="10312.68"/>
    <m/>
    <x v="1"/>
    <x v="0"/>
    <n v="1953.91"/>
  </r>
  <r>
    <n v="3894"/>
    <x v="0"/>
    <x v="1"/>
    <x v="1"/>
    <s v="11"/>
    <n v="-1"/>
    <n v="5255.98"/>
    <n v="1.03"/>
    <n v="157.68"/>
    <d v="2024-06-08T00:00:00"/>
    <x v="1"/>
    <x v="2"/>
    <n v="-1067.96"/>
  </r>
  <r>
    <n v="3897"/>
    <x v="0"/>
    <x v="1"/>
    <x v="13"/>
    <s v="8"/>
    <n v="2"/>
    <n v="6050.27"/>
    <n v="0.69"/>
    <n v="3751.17"/>
    <m/>
    <x v="0"/>
    <x v="1"/>
    <n v="3332.49"/>
  </r>
  <r>
    <n v="3906"/>
    <x v="1"/>
    <x v="2"/>
    <x v="10"/>
    <s v="Xl"/>
    <n v="4"/>
    <n v="7588.77"/>
    <n v="0.14000000000000001"/>
    <n v="26105.37"/>
    <d v="2024-09-04T00:00:00"/>
    <x v="1"/>
    <x v="0"/>
    <n v="3435.73"/>
  </r>
  <r>
    <n v="3928"/>
    <x v="1"/>
    <x v="4"/>
    <x v="19"/>
    <s v=""/>
    <n v="2"/>
    <n v="5636.21"/>
    <n v="0.74"/>
    <n v="2930.83"/>
    <m/>
    <x v="0"/>
    <x v="1"/>
    <n v="-984.86"/>
  </r>
  <r>
    <n v="3929"/>
    <x v="2"/>
    <x v="4"/>
    <x v="16"/>
    <s v=""/>
    <n v="1"/>
    <n v="4199.97"/>
    <n v="0.9"/>
    <n v="420"/>
    <d v="2025-05-14T00:00:00"/>
    <x v="0"/>
    <x v="3"/>
    <n v="-861.44"/>
  </r>
  <r>
    <n v="3932"/>
    <x v="2"/>
    <x v="3"/>
    <x v="18"/>
    <s v="L"/>
    <n v="4"/>
    <n v="4520.97"/>
    <n v="0.54"/>
    <n v="8318.58"/>
    <d v="2025-06-10T00:00:00"/>
    <x v="0"/>
    <x v="4"/>
    <n v="1289.3599999999999"/>
  </r>
  <r>
    <n v="3988"/>
    <x v="2"/>
    <x v="2"/>
    <x v="2"/>
    <s v="M"/>
    <n v="4"/>
    <n v="7945.46"/>
    <n v="0.67"/>
    <n v="10488.01"/>
    <d v="2024-10-10T00:00:00"/>
    <x v="1"/>
    <x v="2"/>
    <n v="3698.62"/>
  </r>
  <r>
    <n v="4008"/>
    <x v="1"/>
    <x v="0"/>
    <x v="5"/>
    <s v="9"/>
    <n v="3"/>
    <n v="7737.27"/>
    <n v="7.0000000000000007E-2"/>
    <n v="21586.98"/>
    <d v="2023-12-15T00:00:00"/>
    <x v="0"/>
    <x v="0"/>
    <n v="180.31"/>
  </r>
  <r>
    <n v="4031"/>
    <x v="1"/>
    <x v="1"/>
    <x v="15"/>
    <s v=""/>
    <n v="2"/>
    <n v="4272.26"/>
    <n v="0.83"/>
    <n v="1452.57"/>
    <m/>
    <x v="0"/>
    <x v="5"/>
    <n v="1977.91"/>
  </r>
  <r>
    <n v="4033"/>
    <x v="1"/>
    <x v="2"/>
    <x v="2"/>
    <s v="L"/>
    <n v="4"/>
    <n v="4398.68"/>
    <n v="0.27"/>
    <n v="12844.15"/>
    <m/>
    <x v="0"/>
    <x v="4"/>
    <n v="3573.92"/>
  </r>
  <r>
    <n v="4043"/>
    <x v="2"/>
    <x v="4"/>
    <x v="11"/>
    <s v=""/>
    <n v="4"/>
    <n v="5235.22"/>
    <n v="0.51"/>
    <n v="10261.030000000001"/>
    <d v="2025-05-28T00:00:00"/>
    <x v="1"/>
    <x v="0"/>
    <n v="3321.49"/>
  </r>
  <r>
    <n v="4066"/>
    <x v="2"/>
    <x v="4"/>
    <x v="12"/>
    <s v="L"/>
    <n v="4"/>
    <n v="6599.26"/>
    <n v="0.85"/>
    <n v="3959.56"/>
    <d v="2025-06-29T00:00:00"/>
    <x v="0"/>
    <x v="4"/>
    <n v="3344.47"/>
  </r>
  <r>
    <n v="4088"/>
    <x v="1"/>
    <x v="3"/>
    <x v="3"/>
    <s v="M"/>
    <n v="2"/>
    <n v="5649.73"/>
    <n v="0.41"/>
    <n v="6666.68"/>
    <d v="2025-03-16T00:00:00"/>
    <x v="0"/>
    <x v="3"/>
    <n v="1548.1"/>
  </r>
  <r>
    <n v="4108"/>
    <x v="2"/>
    <x v="4"/>
    <x v="19"/>
    <s v="L"/>
    <n v="2"/>
    <n v="2767.55"/>
    <n v="0.19"/>
    <n v="4483.43"/>
    <d v="2023-11-25T00:00:00"/>
    <x v="1"/>
    <x v="5"/>
    <n v="1059.07"/>
  </r>
  <r>
    <n v="4220"/>
    <x v="2"/>
    <x v="2"/>
    <x v="10"/>
    <s v="M"/>
    <n v="2"/>
    <n v="2290.64"/>
    <n v="0.84"/>
    <n v="733"/>
    <d v="2025-01-31T00:00:00"/>
    <x v="0"/>
    <x v="1"/>
    <n v="608.16"/>
  </r>
  <r>
    <n v="4249"/>
    <x v="2"/>
    <x v="3"/>
    <x v="3"/>
    <s v="L"/>
    <n v="1"/>
    <n v="2902.95"/>
    <n v="0.6"/>
    <n v="1161.18"/>
    <d v="2024-10-11T00:00:00"/>
    <x v="0"/>
    <x v="4"/>
    <n v="-855.08"/>
  </r>
  <r>
    <n v="4283"/>
    <x v="1"/>
    <x v="3"/>
    <x v="6"/>
    <s v="M"/>
    <n v="1"/>
    <n v="9649.36"/>
    <n v="0.95"/>
    <n v="482.47"/>
    <d v="2025-02-26T00:00:00"/>
    <x v="0"/>
    <x v="4"/>
    <n v="1158.69"/>
  </r>
  <r>
    <n v="4331"/>
    <x v="0"/>
    <x v="3"/>
    <x v="18"/>
    <s v=""/>
    <n v="2"/>
    <n v="4574.53"/>
    <n v="0.04"/>
    <n v="8783.1"/>
    <d v="2025-01-03T00:00:00"/>
    <x v="0"/>
    <x v="5"/>
    <n v="3534.47"/>
  </r>
  <r>
    <n v="4370"/>
    <x v="0"/>
    <x v="4"/>
    <x v="19"/>
    <s v="L"/>
    <n v="2"/>
    <n v="5046.05"/>
    <n v="0.38"/>
    <n v="6257.1"/>
    <d v="2024-10-13T00:00:00"/>
    <x v="0"/>
    <x v="3"/>
    <n v="2530.73"/>
  </r>
  <r>
    <n v="4386"/>
    <x v="2"/>
    <x v="0"/>
    <x v="4"/>
    <s v=""/>
    <n v="2"/>
    <n v="3432.35"/>
    <n v="0.34"/>
    <n v="4530.7"/>
    <d v="2025-06-14T00:00:00"/>
    <x v="1"/>
    <x v="4"/>
    <n v="2576.11"/>
  </r>
  <r>
    <n v="4400"/>
    <x v="0"/>
    <x v="2"/>
    <x v="17"/>
    <s v="M"/>
    <n v="4"/>
    <n v="7798.57"/>
    <n v="0.28000000000000003"/>
    <n v="22459.88"/>
    <d v="2025-05-27T00:00:00"/>
    <x v="0"/>
    <x v="5"/>
    <n v="1334.4"/>
  </r>
  <r>
    <n v="4410"/>
    <x v="1"/>
    <x v="0"/>
    <x v="7"/>
    <s v="Xl"/>
    <n v="-1"/>
    <n v="5967.57"/>
    <n v="1.1000000000000001"/>
    <n v="596.76"/>
    <d v="2024-01-26T00:00:00"/>
    <x v="0"/>
    <x v="3"/>
    <n v="-1011.68"/>
  </r>
  <r>
    <n v="4418"/>
    <x v="0"/>
    <x v="3"/>
    <x v="8"/>
    <s v="Xl"/>
    <n v="2"/>
    <n v="3139.93"/>
    <n v="0.46"/>
    <n v="3391.12"/>
    <m/>
    <x v="1"/>
    <x v="5"/>
    <n v="3548.13"/>
  </r>
  <r>
    <n v="4445"/>
    <x v="0"/>
    <x v="3"/>
    <x v="8"/>
    <s v="Xl"/>
    <n v="1"/>
    <n v="5915.27"/>
    <n v="0.12"/>
    <n v="5205.4399999999996"/>
    <d v="2024-12-15T00:00:00"/>
    <x v="0"/>
    <x v="3"/>
    <n v="3456.95"/>
  </r>
  <r>
    <n v="4446"/>
    <x v="1"/>
    <x v="1"/>
    <x v="14"/>
    <s v="M"/>
    <n v="2"/>
    <n v="3469.31"/>
    <n v="0.28000000000000003"/>
    <n v="4995.8100000000004"/>
    <d v="2025-01-26T00:00:00"/>
    <x v="0"/>
    <x v="2"/>
    <n v="2671.58"/>
  </r>
  <r>
    <n v="4463"/>
    <x v="1"/>
    <x v="1"/>
    <x v="1"/>
    <s v="11"/>
    <n v="3"/>
    <n v="8317.5300000000007"/>
    <n v="0.6"/>
    <n v="9981.0400000000009"/>
    <d v="2025-06-07T00:00:00"/>
    <x v="0"/>
    <x v="2"/>
    <n v="1821.65"/>
  </r>
  <r>
    <n v="4484"/>
    <x v="1"/>
    <x v="0"/>
    <x v="0"/>
    <s v="11"/>
    <n v="3"/>
    <n v="5981.92"/>
    <n v="0.8"/>
    <n v="3589.15"/>
    <d v="2024-12-12T00:00:00"/>
    <x v="0"/>
    <x v="0"/>
    <n v="-751.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D2D651-CE9A-42C5-B481-26B393E1A033}" name="PivotTable20"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0:M17" firstHeaderRow="1" firstDataRow="1" firstDataCol="1"/>
  <pivotFields count="13">
    <pivotField showAll="0"/>
    <pivotField showAll="0"/>
    <pivotField showAll="0"/>
    <pivotField showAll="0"/>
    <pivotField showAll="0"/>
    <pivotField showAll="0"/>
    <pivotField showAll="0"/>
    <pivotField showAll="0"/>
    <pivotField dataField="1" showAll="0"/>
    <pivotField showAll="0"/>
    <pivotField showAll="0"/>
    <pivotField axis="axisRow" showAll="0">
      <items count="10">
        <item m="1" x="7"/>
        <item sd="0" x="4"/>
        <item sd="0" x="1"/>
        <item sd="0" m="1" x="8"/>
        <item sd="0" x="0"/>
        <item sd="0" m="1" x="6"/>
        <item sd="0" x="5"/>
        <item sd="0" x="3"/>
        <item sd="0" x="2"/>
        <item t="default" sd="0"/>
      </items>
    </pivotField>
    <pivotField showAll="0"/>
  </pivotFields>
  <rowFields count="1">
    <field x="11"/>
  </rowFields>
  <rowItems count="7">
    <i>
      <x v="1"/>
    </i>
    <i>
      <x v="2"/>
    </i>
    <i>
      <x v="4"/>
    </i>
    <i>
      <x v="6"/>
    </i>
    <i>
      <x v="7"/>
    </i>
    <i>
      <x v="8"/>
    </i>
    <i t="grand">
      <x/>
    </i>
  </rowItems>
  <colItems count="1">
    <i/>
  </colItems>
  <dataFields count="1">
    <dataField name="Sum of Revenue" fld="8" baseField="11" baseItem="1" numFmtId="176"/>
  </dataFields>
  <formats count="1">
    <format dxfId="10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C04503-13DC-4364-B338-5C8B9AFCB8AC}" name="PivotTable2" cacheId="1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9:G20" firstHeaderRow="1" firstDataRow="2" firstDataCol="1"/>
  <pivotFields count="13">
    <pivotField showAll="0"/>
    <pivotField axis="axisRow" showAll="0">
      <items count="4">
        <item x="2"/>
        <item x="1"/>
        <item x="0"/>
        <item t="default"/>
      </items>
    </pivotField>
    <pivotField axis="axisCol" showAll="0">
      <items count="6">
        <item x="0"/>
        <item x="2"/>
        <item x="4"/>
        <item x="1"/>
        <item x="3"/>
        <item t="default"/>
      </items>
    </pivotField>
    <pivotField showAll="0"/>
    <pivotField showAll="0"/>
    <pivotField showAll="0"/>
    <pivotField showAll="0"/>
    <pivotField showAll="0"/>
    <pivotField dataField="1" showAll="0"/>
    <pivotField showAll="0"/>
    <pivotField axis="axisRow" showAll="0">
      <items count="3">
        <item x="1"/>
        <item x="0"/>
        <item t="default"/>
      </items>
    </pivotField>
    <pivotField showAll="0">
      <items count="10">
        <item m="1" x="7"/>
        <item x="4"/>
        <item x="1"/>
        <item m="1" x="8"/>
        <item x="0"/>
        <item m="1" x="6"/>
        <item x="5"/>
        <item x="3"/>
        <item x="2"/>
        <item t="default"/>
      </items>
    </pivotField>
    <pivotField showAll="0"/>
  </pivotFields>
  <rowFields count="2">
    <field x="1"/>
    <field x="10"/>
  </rowFields>
  <rowItems count="10">
    <i>
      <x/>
    </i>
    <i r="1">
      <x/>
    </i>
    <i r="1">
      <x v="1"/>
    </i>
    <i>
      <x v="1"/>
    </i>
    <i r="1">
      <x/>
    </i>
    <i r="1">
      <x v="1"/>
    </i>
    <i>
      <x v="2"/>
    </i>
    <i r="1">
      <x/>
    </i>
    <i r="1">
      <x v="1"/>
    </i>
    <i t="grand">
      <x/>
    </i>
  </rowItems>
  <colFields count="1">
    <field x="2"/>
  </colFields>
  <colItems count="6">
    <i>
      <x/>
    </i>
    <i>
      <x v="1"/>
    </i>
    <i>
      <x v="2"/>
    </i>
    <i>
      <x v="3"/>
    </i>
    <i>
      <x v="4"/>
    </i>
    <i t="grand">
      <x/>
    </i>
  </colItems>
  <dataFields count="1">
    <dataField name="Sum of Revenue" fld="8" baseField="0" baseItem="0" numFmtId="42"/>
  </dataFields>
  <formats count="13">
    <format dxfId="136">
      <pivotArea type="all" dataOnly="0" outline="0" fieldPosition="0"/>
    </format>
    <format dxfId="121">
      <pivotArea outline="0" collapsedLevelsAreSubtotals="1" fieldPosition="0"/>
    </format>
    <format dxfId="120">
      <pivotArea type="origin" dataOnly="0" labelOnly="1" outline="0" fieldPosition="0"/>
    </format>
    <format dxfId="119">
      <pivotArea field="2" type="button" dataOnly="0" labelOnly="1" outline="0" axis="axisCol" fieldPosition="0"/>
    </format>
    <format dxfId="118">
      <pivotArea type="topRight" dataOnly="0" labelOnly="1" outline="0" fieldPosition="0"/>
    </format>
    <format dxfId="117">
      <pivotArea field="1" type="button" dataOnly="0" labelOnly="1" outline="0" axis="axisRow" fieldPosition="0"/>
    </format>
    <format dxfId="116">
      <pivotArea dataOnly="0" labelOnly="1" fieldPosition="0">
        <references count="1">
          <reference field="1" count="0"/>
        </references>
      </pivotArea>
    </format>
    <format dxfId="115">
      <pivotArea dataOnly="0" labelOnly="1" grandRow="1" outline="0" fieldPosition="0"/>
    </format>
    <format dxfId="114">
      <pivotArea dataOnly="0" labelOnly="1" fieldPosition="0">
        <references count="2">
          <reference field="1" count="1" selected="0">
            <x v="0"/>
          </reference>
          <reference field="10" count="0"/>
        </references>
      </pivotArea>
    </format>
    <format dxfId="113">
      <pivotArea dataOnly="0" labelOnly="1" fieldPosition="0">
        <references count="2">
          <reference field="1" count="1" selected="0">
            <x v="1"/>
          </reference>
          <reference field="10" count="0"/>
        </references>
      </pivotArea>
    </format>
    <format dxfId="112">
      <pivotArea dataOnly="0" labelOnly="1" fieldPosition="0">
        <references count="2">
          <reference field="1" count="1" selected="0">
            <x v="2"/>
          </reference>
          <reference field="10" count="0"/>
        </references>
      </pivotArea>
    </format>
    <format dxfId="111">
      <pivotArea dataOnly="0" labelOnly="1" fieldPosition="0">
        <references count="1">
          <reference field="2" count="0"/>
        </references>
      </pivotArea>
    </format>
    <format dxfId="110">
      <pivotArea dataOnly="0" labelOnly="1" grandCol="1" outline="0" fieldPosition="0"/>
    </format>
  </formats>
  <chartFormats count="21">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3" format="5" series="1">
      <pivotArea type="data" outline="0" fieldPosition="0">
        <references count="2">
          <reference field="4294967294" count="1" selected="0">
            <x v="0"/>
          </reference>
          <reference field="2" count="1" selected="0">
            <x v="0"/>
          </reference>
        </references>
      </pivotArea>
    </chartFormat>
    <chartFormat chart="3" format="6" series="1">
      <pivotArea type="data" outline="0" fieldPosition="0">
        <references count="2">
          <reference field="4294967294" count="1" selected="0">
            <x v="0"/>
          </reference>
          <reference field="2" count="1" selected="0">
            <x v="1"/>
          </reference>
        </references>
      </pivotArea>
    </chartFormat>
    <chartFormat chart="3" format="7" series="1">
      <pivotArea type="data" outline="0" fieldPosition="0">
        <references count="2">
          <reference field="4294967294" count="1" selected="0">
            <x v="0"/>
          </reference>
          <reference field="2" count="1" selected="0">
            <x v="2"/>
          </reference>
        </references>
      </pivotArea>
    </chartFormat>
    <chartFormat chart="3" format="8" series="1">
      <pivotArea type="data" outline="0" fieldPosition="0">
        <references count="2">
          <reference field="4294967294" count="1" selected="0">
            <x v="0"/>
          </reference>
          <reference field="2" count="1" selected="0">
            <x v="4"/>
          </reference>
        </references>
      </pivotArea>
    </chartFormat>
    <chartFormat chart="4" format="9" series="1">
      <pivotArea type="data" outline="0" fieldPosition="0">
        <references count="2">
          <reference field="4294967294" count="1" selected="0">
            <x v="0"/>
          </reference>
          <reference field="2" count="1" selected="0">
            <x v="0"/>
          </reference>
        </references>
      </pivotArea>
    </chartFormat>
    <chartFormat chart="4" format="10" series="1">
      <pivotArea type="data" outline="0" fieldPosition="0">
        <references count="2">
          <reference field="4294967294" count="1" selected="0">
            <x v="0"/>
          </reference>
          <reference field="2" count="1" selected="0">
            <x v="1"/>
          </reference>
        </references>
      </pivotArea>
    </chartFormat>
    <chartFormat chart="4" format="11" series="1">
      <pivotArea type="data" outline="0" fieldPosition="0">
        <references count="2">
          <reference field="4294967294" count="1" selected="0">
            <x v="0"/>
          </reference>
          <reference field="2" count="1" selected="0">
            <x v="2"/>
          </reference>
        </references>
      </pivotArea>
    </chartFormat>
    <chartFormat chart="4" format="12" series="1">
      <pivotArea type="data" outline="0" fieldPosition="0">
        <references count="2">
          <reference field="4294967294" count="1" selected="0">
            <x v="0"/>
          </reference>
          <reference field="2" count="1" selected="0">
            <x v="4"/>
          </reference>
        </references>
      </pivotArea>
    </chartFormat>
    <chartFormat chart="10" format="5" series="1">
      <pivotArea type="data" outline="0" fieldPosition="0">
        <references count="2">
          <reference field="4294967294" count="1" selected="0">
            <x v="0"/>
          </reference>
          <reference field="2" count="1" selected="0">
            <x v="0"/>
          </reference>
        </references>
      </pivotArea>
    </chartFormat>
    <chartFormat chart="10" format="6" series="1">
      <pivotArea type="data" outline="0" fieldPosition="0">
        <references count="2">
          <reference field="4294967294" count="1" selected="0">
            <x v="0"/>
          </reference>
          <reference field="2" count="1" selected="0">
            <x v="1"/>
          </reference>
        </references>
      </pivotArea>
    </chartFormat>
    <chartFormat chart="10" format="7" series="1">
      <pivotArea type="data" outline="0" fieldPosition="0">
        <references count="2">
          <reference field="4294967294" count="1" selected="0">
            <x v="0"/>
          </reference>
          <reference field="2" count="1" selected="0">
            <x v="2"/>
          </reference>
        </references>
      </pivotArea>
    </chartFormat>
    <chartFormat chart="10" format="8" series="1">
      <pivotArea type="data" outline="0" fieldPosition="0">
        <references count="2">
          <reference field="4294967294" count="1" selected="0">
            <x v="0"/>
          </reference>
          <reference field="2" count="1" selected="0">
            <x v="4"/>
          </reference>
        </references>
      </pivotArea>
    </chartFormat>
    <chartFormat chart="12" format="9" series="1">
      <pivotArea type="data" outline="0" fieldPosition="0">
        <references count="2">
          <reference field="4294967294" count="1" selected="0">
            <x v="0"/>
          </reference>
          <reference field="2" count="1" selected="0">
            <x v="0"/>
          </reference>
        </references>
      </pivotArea>
    </chartFormat>
    <chartFormat chart="12" format="10" series="1">
      <pivotArea type="data" outline="0" fieldPosition="0">
        <references count="2">
          <reference field="4294967294" count="1" selected="0">
            <x v="0"/>
          </reference>
          <reference field="2" count="1" selected="0">
            <x v="1"/>
          </reference>
        </references>
      </pivotArea>
    </chartFormat>
    <chartFormat chart="12" format="11" series="1">
      <pivotArea type="data" outline="0" fieldPosition="0">
        <references count="2">
          <reference field="4294967294" count="1" selected="0">
            <x v="0"/>
          </reference>
          <reference field="2" count="1" selected="0">
            <x v="2"/>
          </reference>
        </references>
      </pivotArea>
    </chartFormat>
    <chartFormat chart="12" format="12"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749E9A-F4CA-4C27-83A8-0EBF34BDB881}" name="PivotTable6" cacheId="1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9:J20" firstHeaderRow="1" firstDataRow="1" firstDataCol="1"/>
  <pivotFields count="13">
    <pivotField showAll="0"/>
    <pivotField showAll="0"/>
    <pivotField showAll="0"/>
    <pivotField axis="axisRow" showAll="0" measureFilter="1" sortType="ascending">
      <items count="21">
        <item x="17"/>
        <item x="0"/>
        <item x="11"/>
        <item x="2"/>
        <item x="10"/>
        <item x="3"/>
        <item x="16"/>
        <item x="7"/>
        <item x="5"/>
        <item x="14"/>
        <item x="8"/>
        <item x="19"/>
        <item x="15"/>
        <item x="1"/>
        <item x="12"/>
        <item x="18"/>
        <item x="13"/>
        <item x="9"/>
        <item x="4"/>
        <item x="6"/>
        <item t="default"/>
      </items>
    </pivotField>
    <pivotField showAll="0"/>
    <pivotField showAll="0"/>
    <pivotField showAll="0"/>
    <pivotField showAll="0"/>
    <pivotField dataField="1" showAll="0"/>
    <pivotField showAll="0"/>
    <pivotField showAll="0"/>
    <pivotField showAll="0"/>
    <pivotField showAll="0"/>
  </pivotFields>
  <rowFields count="1">
    <field x="3"/>
  </rowFields>
  <rowItems count="11">
    <i>
      <x/>
    </i>
    <i>
      <x v="1"/>
    </i>
    <i>
      <x v="2"/>
    </i>
    <i>
      <x v="3"/>
    </i>
    <i>
      <x v="5"/>
    </i>
    <i>
      <x v="8"/>
    </i>
    <i>
      <x v="12"/>
    </i>
    <i>
      <x v="15"/>
    </i>
    <i>
      <x v="18"/>
    </i>
    <i>
      <x v="19"/>
    </i>
    <i t="grand">
      <x/>
    </i>
  </rowItems>
  <colItems count="1">
    <i/>
  </colItems>
  <dataFields count="1">
    <dataField name="Sum of Revenue" fld="8" baseField="3" baseItem="1" numFmtId="176"/>
  </dataFields>
  <formats count="1">
    <format dxfId="108">
      <pivotArea outline="0" collapsedLevelsAreSubtotals="1" fieldPosition="0"/>
    </format>
  </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3E92197-EB2E-4AD2-92E3-B1E49964D86B}" autoFormatId="16" applyNumberFormats="0" applyBorderFormats="0" applyFontFormats="0" applyPatternFormats="0" applyAlignmentFormats="0" applyWidthHeightFormats="0">
  <queryTableRefresh nextId="14">
    <queryTableFields count="13">
      <queryTableField id="1" name="Order_ID" tableColumnId="1"/>
      <queryTableField id="2" name="Gender_Category" tableColumnId="2"/>
      <queryTableField id="3" name="Product_Line" tableColumnId="3"/>
      <queryTableField id="4" name="Product_Name" tableColumnId="4"/>
      <queryTableField id="5" name="Size" tableColumnId="5"/>
      <queryTableField id="6" name="Units_Sold" tableColumnId="6"/>
      <queryTableField id="7" name="MRP" tableColumnId="7"/>
      <queryTableField id="8" name="Discount_Applied" tableColumnId="8"/>
      <queryTableField id="9" name="Revenue" tableColumnId="9"/>
      <queryTableField id="10" name="Order_Date" tableColumnId="10"/>
      <queryTableField id="11" name="Sales_Channel" tableColumnId="11"/>
      <queryTableField id="12" name="Region" tableColumnId="12"/>
      <queryTableField id="13" name="Profit"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EC3A6ACF-E15C-4955-89A7-3BDB626C26A6}" sourceName="Product_Line">
  <pivotTables>
    <pivotTable tabId="3" name="PivotTable2"/>
  </pivotTables>
  <data>
    <tabular pivotCacheId="2072430244">
      <items count="5">
        <i x="0" s="1"/>
        <i x="2" s="1"/>
        <i x="4"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Category" xr10:uid="{788094FD-AC85-46BD-A722-1CA1A5A6B043}" sourceName="Gender_Category">
  <pivotTables>
    <pivotTable tabId="3" name="PivotTable2"/>
  </pivotTables>
  <data>
    <tabular pivotCacheId="207243024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7134CF33-E0C8-452A-875E-41D268456619}" sourceName="Sales_Channel">
  <pivotTables>
    <pivotTable tabId="3" name="PivotTable2"/>
  </pivotTables>
  <data>
    <tabular pivotCacheId="2072430244">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B927205-8FDE-4856-9E2D-C9D9DB88B49A}" sourceName="Region">
  <pivotTables>
    <pivotTable tabId="3" name="PivotTable2"/>
  </pivotTables>
  <data>
    <tabular pivotCacheId="2072430244">
      <items count="9">
        <i x="4" s="1"/>
        <i x="1" s="1"/>
        <i x="0" s="1"/>
        <i x="5" s="1"/>
        <i x="3" s="1"/>
        <i x="2" s="1"/>
        <i x="7" s="1" nd="1"/>
        <i x="8" s="1" nd="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Line" xr10:uid="{8F77B71C-4CD9-4793-9711-0B9D88E03445}" cache="Slicer_Product_Line" caption="Product_Line" rowHeight="241300"/>
  <slicer name="Gender_Category" xr10:uid="{06EE2CF1-93EF-4824-9F25-0DFF2BB3EF7E}" cache="Slicer_Gender_Category" caption="Gender_Category" rowHeight="241300"/>
  <slicer name="Sales_Channel" xr10:uid="{C2B37148-E3CD-4672-AEA3-AF14DF8D94A3}" cache="Slicer_Sales_Channel" caption="Sales_Channel" rowHeight="241300"/>
  <slicer name="Region" xr10:uid="{68533B42-A395-47D8-A780-90CA3C5165B7}" cache="Slicer_Region" caption="Reg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A8F246-7FF6-4366-839F-B5CD381721EB}" name="Nike_Sales_Uncleaned" displayName="Nike_Sales_Uncleaned" ref="A1:M112" tableType="queryTable" totalsRowCount="1">
  <autoFilter ref="A1:M111" xr:uid="{C6A8F246-7FF6-4366-839F-B5CD381721EB}">
    <filterColumn colId="3">
      <filters>
        <filter val="Flex Trainer"/>
      </filters>
    </filterColumn>
  </autoFilter>
  <tableColumns count="13">
    <tableColumn id="1" xr3:uid="{D31B9F27-0C17-470F-AD7B-D6CD1EE64C99}" uniqueName="1" name="Order_ID" queryTableFieldId="1" dataDxfId="698" totalsRowDxfId="685"/>
    <tableColumn id="2" xr3:uid="{62186F0F-3785-4096-8077-150D16E8D367}" uniqueName="2" name="Gender_Category" queryTableFieldId="2" dataDxfId="697" totalsRowDxfId="684"/>
    <tableColumn id="3" xr3:uid="{0FDEA763-A087-4824-B1FC-7BE55A7888B9}" uniqueName="3" name="Product_Line" queryTableFieldId="3" dataDxfId="696" totalsRowDxfId="683"/>
    <tableColumn id="4" xr3:uid="{31858382-E427-4093-9963-235CCC96B974}" uniqueName="4" name="Product_Name" queryTableFieldId="4" dataDxfId="695" totalsRowDxfId="682"/>
    <tableColumn id="5" xr3:uid="{1B96F519-24C6-4758-8A24-E4ABFAFFDDFC}" uniqueName="5" name="Size" queryTableFieldId="5" dataDxfId="694" totalsRowDxfId="681"/>
    <tableColumn id="6" xr3:uid="{89D9D057-D8A9-4A94-A65E-A396933EE653}" uniqueName="6" name="Units_Sold" queryTableFieldId="6" dataDxfId="693" totalsRowDxfId="680"/>
    <tableColumn id="7" xr3:uid="{B0FC4FCC-962A-4BB0-9654-C233B9375324}" uniqueName="7" name="MRP" queryTableFieldId="7" dataDxfId="692" totalsRowDxfId="679"/>
    <tableColumn id="8" xr3:uid="{49A8FB66-BE6A-4AC6-A9A7-A618D74CD3B2}" uniqueName="8" name="Discount_Applied" queryTableFieldId="8" dataDxfId="691" totalsRowDxfId="678"/>
    <tableColumn id="9" xr3:uid="{BB5B9716-3721-4042-880C-1067F5ADCD53}" uniqueName="9" name="Revenue" queryTableFieldId="9" dataDxfId="690" totalsRowDxfId="673"/>
    <tableColumn id="10" xr3:uid="{E3C59040-88A0-4101-BB6E-3BE7EA298EC9}" uniqueName="10" name="Order_Date" queryTableFieldId="10" dataDxfId="689" totalsRowDxfId="677"/>
    <tableColumn id="11" xr3:uid="{AAE044CC-E966-4CEE-B0E2-C83A7CA99E45}" uniqueName="11" name="Sales_Channel" queryTableFieldId="11" dataDxfId="688" totalsRowDxfId="676"/>
    <tableColumn id="12" xr3:uid="{FF65A76A-FF9A-4842-9ED1-E83450B4FAF4}" uniqueName="12" name="Region" queryTableFieldId="12" dataDxfId="687" totalsRowDxfId="675"/>
    <tableColumn id="13" xr3:uid="{F196559F-4177-42F6-BE0F-B3C7D3C459F1}" uniqueName="13" name="Profit" queryTableFieldId="13" dataDxfId="686" totalsRowDxfId="67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1723E-FB6C-4578-9193-3F5902C40483}">
  <dimension ref="A1:M112"/>
  <sheetViews>
    <sheetView topLeftCell="B1" zoomScale="80" zoomScaleNormal="130" workbookViewId="0">
      <selection activeCell="C121" sqref="C121"/>
    </sheetView>
  </sheetViews>
  <sheetFormatPr defaultRowHeight="14.5" x14ac:dyDescent="0.35"/>
  <cols>
    <col min="1" max="1" width="10.81640625" bestFit="1" customWidth="1"/>
    <col min="2" max="2" width="17.7265625" bestFit="1" customWidth="1"/>
    <col min="3" max="3" width="13.90625" bestFit="1" customWidth="1"/>
    <col min="4" max="4" width="16.1796875" bestFit="1" customWidth="1"/>
    <col min="5" max="5" width="6.26953125" bestFit="1" customWidth="1"/>
    <col min="6" max="6" width="11.90625" bestFit="1" customWidth="1"/>
    <col min="7" max="7" width="7.81640625" bestFit="1" customWidth="1"/>
    <col min="8" max="8" width="17.81640625" bestFit="1" customWidth="1"/>
    <col min="9" max="9" width="12.6328125" bestFit="1" customWidth="1"/>
    <col min="10" max="10" width="12.90625" bestFit="1" customWidth="1"/>
    <col min="11" max="11" width="15.1796875" bestFit="1" customWidth="1"/>
    <col min="12" max="12" width="10" bestFit="1" customWidth="1"/>
    <col min="13" max="13" width="8.453125" bestFit="1"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hidden="1" x14ac:dyDescent="0.35">
      <c r="A2" s="1">
        <v>2016</v>
      </c>
      <c r="B2" s="2" t="s">
        <v>19</v>
      </c>
      <c r="C2" s="2" t="s">
        <v>40</v>
      </c>
      <c r="D2" s="2" t="s">
        <v>41</v>
      </c>
      <c r="E2" s="2" t="s">
        <v>16</v>
      </c>
      <c r="F2" s="1">
        <v>1</v>
      </c>
      <c r="G2" s="1">
        <v>9871.75</v>
      </c>
      <c r="H2" s="1">
        <v>0.3</v>
      </c>
      <c r="I2" s="1">
        <v>6910.22</v>
      </c>
      <c r="J2" s="3"/>
      <c r="K2" s="2" t="s">
        <v>22</v>
      </c>
      <c r="L2" s="2" t="s">
        <v>36</v>
      </c>
      <c r="M2" s="1">
        <v>2452.69</v>
      </c>
    </row>
    <row r="3" spans="1:13" hidden="1" x14ac:dyDescent="0.35">
      <c r="A3" s="1">
        <v>2031</v>
      </c>
      <c r="B3" s="2" t="s">
        <v>34</v>
      </c>
      <c r="C3" s="2" t="s">
        <v>20</v>
      </c>
      <c r="D3" s="2" t="s">
        <v>23</v>
      </c>
      <c r="E3" s="2" t="s">
        <v>39</v>
      </c>
      <c r="F3" s="1">
        <v>4</v>
      </c>
      <c r="G3" s="1">
        <v>3493.04</v>
      </c>
      <c r="H3" s="1">
        <v>0.82</v>
      </c>
      <c r="I3" s="1">
        <v>2514.9899999999998</v>
      </c>
      <c r="J3" s="3">
        <v>45421</v>
      </c>
      <c r="K3" s="2" t="s">
        <v>17</v>
      </c>
      <c r="L3" s="2" t="s">
        <v>32</v>
      </c>
      <c r="M3" s="1">
        <v>350.7</v>
      </c>
    </row>
    <row r="4" spans="1:13" hidden="1" x14ac:dyDescent="0.35">
      <c r="A4" s="1">
        <v>2063</v>
      </c>
      <c r="B4" s="2" t="s">
        <v>19</v>
      </c>
      <c r="C4" s="2" t="s">
        <v>40</v>
      </c>
      <c r="D4" s="2" t="s">
        <v>41</v>
      </c>
      <c r="E4" s="2" t="s">
        <v>16</v>
      </c>
      <c r="F4" s="1">
        <v>1</v>
      </c>
      <c r="G4" s="1">
        <v>9751</v>
      </c>
      <c r="H4" s="1">
        <v>0.16</v>
      </c>
      <c r="I4" s="1">
        <v>8190.84</v>
      </c>
      <c r="J4" s="3">
        <v>45541</v>
      </c>
      <c r="K4" s="2" t="s">
        <v>22</v>
      </c>
      <c r="L4" s="2" t="s">
        <v>28</v>
      </c>
      <c r="M4" s="1">
        <v>1130.31</v>
      </c>
    </row>
    <row r="5" spans="1:13" hidden="1" x14ac:dyDescent="0.35">
      <c r="A5" s="1">
        <v>2071</v>
      </c>
      <c r="B5" s="2" t="s">
        <v>13</v>
      </c>
      <c r="C5" s="2" t="s">
        <v>25</v>
      </c>
      <c r="D5" s="2" t="s">
        <v>26</v>
      </c>
      <c r="E5" s="2" t="s">
        <v>16</v>
      </c>
      <c r="F5" s="1">
        <v>3</v>
      </c>
      <c r="G5" s="1">
        <v>7849.81</v>
      </c>
      <c r="H5" s="1">
        <v>0.49</v>
      </c>
      <c r="I5" s="1">
        <v>12010.21</v>
      </c>
      <c r="J5" s="3">
        <v>45669</v>
      </c>
      <c r="K5" s="2" t="s">
        <v>22</v>
      </c>
      <c r="L5" s="2" t="s">
        <v>28</v>
      </c>
      <c r="M5" s="1">
        <v>-882.96</v>
      </c>
    </row>
    <row r="6" spans="1:13" x14ac:dyDescent="0.35">
      <c r="A6" s="1">
        <v>2089</v>
      </c>
      <c r="B6" s="2" t="s">
        <v>19</v>
      </c>
      <c r="C6" s="2" t="s">
        <v>14</v>
      </c>
      <c r="D6" s="2" t="s">
        <v>33</v>
      </c>
      <c r="E6" s="2" t="s">
        <v>27</v>
      </c>
      <c r="F6" s="1">
        <v>2</v>
      </c>
      <c r="G6" s="1">
        <v>6874.77</v>
      </c>
      <c r="H6" s="1">
        <v>0.6</v>
      </c>
      <c r="I6" s="1">
        <v>5499.82</v>
      </c>
      <c r="J6" s="3">
        <v>45628</v>
      </c>
      <c r="K6" s="2" t="s">
        <v>17</v>
      </c>
      <c r="L6" s="2" t="s">
        <v>24</v>
      </c>
      <c r="M6" s="1">
        <v>-1076.6600000000001</v>
      </c>
    </row>
    <row r="7" spans="1:13" x14ac:dyDescent="0.35">
      <c r="A7" s="1">
        <v>2114</v>
      </c>
      <c r="B7" s="2" t="s">
        <v>19</v>
      </c>
      <c r="C7" s="2" t="s">
        <v>14</v>
      </c>
      <c r="D7" s="2" t="s">
        <v>33</v>
      </c>
      <c r="E7" s="2" t="s">
        <v>31</v>
      </c>
      <c r="F7" s="1">
        <v>1</v>
      </c>
      <c r="G7" s="1">
        <v>3167.33</v>
      </c>
      <c r="H7" s="1">
        <v>0.53</v>
      </c>
      <c r="I7" s="1">
        <v>1488.65</v>
      </c>
      <c r="J7" s="3"/>
      <c r="K7" s="2" t="s">
        <v>22</v>
      </c>
      <c r="L7" s="2" t="s">
        <v>28</v>
      </c>
      <c r="M7" s="1">
        <v>1567.37</v>
      </c>
    </row>
    <row r="8" spans="1:13" hidden="1" x14ac:dyDescent="0.35">
      <c r="A8" s="1">
        <v>2135</v>
      </c>
      <c r="B8" s="2" t="s">
        <v>34</v>
      </c>
      <c r="C8" s="2" t="s">
        <v>40</v>
      </c>
      <c r="D8" s="2" t="s">
        <v>48</v>
      </c>
      <c r="E8" s="2" t="s">
        <v>27</v>
      </c>
      <c r="F8" s="1">
        <v>2</v>
      </c>
      <c r="G8" s="1">
        <v>9106.61</v>
      </c>
      <c r="H8" s="1">
        <v>0.74</v>
      </c>
      <c r="I8" s="1">
        <v>4735.4399999999996</v>
      </c>
      <c r="J8" s="3">
        <v>45599</v>
      </c>
      <c r="K8" s="2" t="s">
        <v>22</v>
      </c>
      <c r="L8" s="2" t="s">
        <v>36</v>
      </c>
      <c r="M8" s="1">
        <v>2422.38</v>
      </c>
    </row>
    <row r="9" spans="1:13" hidden="1" x14ac:dyDescent="0.35">
      <c r="A9" s="1">
        <v>2150</v>
      </c>
      <c r="B9" s="2" t="s">
        <v>19</v>
      </c>
      <c r="C9" s="2" t="s">
        <v>40</v>
      </c>
      <c r="D9" s="2" t="s">
        <v>58</v>
      </c>
      <c r="E9" s="2" t="s">
        <v>16</v>
      </c>
      <c r="F9" s="1">
        <v>2</v>
      </c>
      <c r="G9" s="1">
        <v>3313.21</v>
      </c>
      <c r="H9" s="1">
        <v>0.48</v>
      </c>
      <c r="I9" s="1">
        <v>3445.74</v>
      </c>
      <c r="J9" s="3">
        <v>45844</v>
      </c>
      <c r="K9" s="2" t="s">
        <v>17</v>
      </c>
      <c r="L9" s="2" t="s">
        <v>18</v>
      </c>
      <c r="M9" s="1">
        <v>3221.62</v>
      </c>
    </row>
    <row r="10" spans="1:13" x14ac:dyDescent="0.35">
      <c r="A10" s="1">
        <v>2169</v>
      </c>
      <c r="B10" s="2" t="s">
        <v>13</v>
      </c>
      <c r="C10" s="2" t="s">
        <v>14</v>
      </c>
      <c r="D10" s="2" t="s">
        <v>33</v>
      </c>
      <c r="E10" s="2" t="s">
        <v>39</v>
      </c>
      <c r="F10" s="1">
        <v>4</v>
      </c>
      <c r="G10" s="1">
        <v>4046.05</v>
      </c>
      <c r="H10" s="1">
        <v>0.01</v>
      </c>
      <c r="I10" s="1">
        <v>16022.36</v>
      </c>
      <c r="J10" s="3">
        <v>45640</v>
      </c>
      <c r="K10" s="2" t="s">
        <v>22</v>
      </c>
      <c r="L10" s="2" t="s">
        <v>32</v>
      </c>
      <c r="M10" s="1">
        <v>1057.58</v>
      </c>
    </row>
    <row r="11" spans="1:13" hidden="1" x14ac:dyDescent="0.35">
      <c r="A11" s="1">
        <v>2185</v>
      </c>
      <c r="B11" s="2" t="s">
        <v>19</v>
      </c>
      <c r="C11" s="2" t="s">
        <v>14</v>
      </c>
      <c r="D11" s="2" t="s">
        <v>50</v>
      </c>
      <c r="E11" s="2" t="s">
        <v>31</v>
      </c>
      <c r="F11" s="1">
        <v>4</v>
      </c>
      <c r="G11" s="1">
        <v>4207.4399999999996</v>
      </c>
      <c r="H11" s="1">
        <v>0.59</v>
      </c>
      <c r="I11" s="1">
        <v>6900.2</v>
      </c>
      <c r="J11" s="3">
        <v>45816</v>
      </c>
      <c r="K11" s="2" t="s">
        <v>17</v>
      </c>
      <c r="L11" s="2" t="s">
        <v>42</v>
      </c>
      <c r="M11" s="1">
        <v>-615.48</v>
      </c>
    </row>
    <row r="12" spans="1:13" hidden="1" x14ac:dyDescent="0.35">
      <c r="A12" s="1">
        <v>2202</v>
      </c>
      <c r="B12" s="2" t="s">
        <v>34</v>
      </c>
      <c r="C12" s="2" t="s">
        <v>40</v>
      </c>
      <c r="D12" s="2" t="s">
        <v>47</v>
      </c>
      <c r="E12" s="2" t="s">
        <v>16</v>
      </c>
      <c r="F12" s="1">
        <v>-1</v>
      </c>
      <c r="G12" s="1">
        <v>7918.93</v>
      </c>
      <c r="H12" s="1">
        <v>1.06</v>
      </c>
      <c r="I12" s="1">
        <v>475.14</v>
      </c>
      <c r="J12" s="3">
        <v>45842</v>
      </c>
      <c r="K12" s="2" t="s">
        <v>22</v>
      </c>
      <c r="L12" s="2" t="s">
        <v>18</v>
      </c>
      <c r="M12" s="1">
        <v>1994.42</v>
      </c>
    </row>
    <row r="13" spans="1:13" hidden="1" x14ac:dyDescent="0.35">
      <c r="A13" s="1">
        <v>2222</v>
      </c>
      <c r="B13" s="2" t="s">
        <v>34</v>
      </c>
      <c r="C13" s="2" t="s">
        <v>14</v>
      </c>
      <c r="D13" s="2" t="s">
        <v>50</v>
      </c>
      <c r="E13" s="2" t="s">
        <v>31</v>
      </c>
      <c r="F13" s="1">
        <v>2</v>
      </c>
      <c r="G13" s="1">
        <v>8897.19</v>
      </c>
      <c r="H13" s="1">
        <v>0.11</v>
      </c>
      <c r="I13" s="1">
        <v>15837</v>
      </c>
      <c r="J13" s="3">
        <v>45647</v>
      </c>
      <c r="K13" s="2" t="s">
        <v>22</v>
      </c>
      <c r="L13" s="2" t="s">
        <v>24</v>
      </c>
      <c r="M13" s="1">
        <v>2821.69</v>
      </c>
    </row>
    <row r="14" spans="1:13" hidden="1" x14ac:dyDescent="0.35">
      <c r="A14" s="1">
        <v>2248</v>
      </c>
      <c r="B14" s="2" t="s">
        <v>34</v>
      </c>
      <c r="C14" s="2" t="s">
        <v>14</v>
      </c>
      <c r="D14" s="2" t="s">
        <v>52</v>
      </c>
      <c r="E14" s="2" t="s">
        <v>16</v>
      </c>
      <c r="F14" s="1">
        <v>4</v>
      </c>
      <c r="G14" s="1">
        <v>8249.9599999999991</v>
      </c>
      <c r="H14" s="1">
        <v>0.24</v>
      </c>
      <c r="I14" s="1">
        <v>25079.88</v>
      </c>
      <c r="J14" s="3">
        <v>45307</v>
      </c>
      <c r="K14" s="2" t="s">
        <v>17</v>
      </c>
      <c r="L14" s="2" t="s">
        <v>18</v>
      </c>
      <c r="M14" s="1">
        <v>1625.14</v>
      </c>
    </row>
    <row r="15" spans="1:13" hidden="1" x14ac:dyDescent="0.35">
      <c r="A15" s="1">
        <v>2300</v>
      </c>
      <c r="B15" s="2" t="s">
        <v>34</v>
      </c>
      <c r="C15" s="2" t="s">
        <v>40</v>
      </c>
      <c r="D15" s="2" t="s">
        <v>41</v>
      </c>
      <c r="E15" s="2" t="s">
        <v>27</v>
      </c>
      <c r="F15" s="1">
        <v>3</v>
      </c>
      <c r="G15" s="1">
        <v>6331.64</v>
      </c>
      <c r="H15" s="1">
        <v>0.78</v>
      </c>
      <c r="I15" s="1">
        <v>4178.88</v>
      </c>
      <c r="J15" s="3">
        <v>45521</v>
      </c>
      <c r="K15" s="2" t="s">
        <v>22</v>
      </c>
      <c r="L15" s="2" t="s">
        <v>32</v>
      </c>
      <c r="M15" s="1">
        <v>3380.28</v>
      </c>
    </row>
    <row r="16" spans="1:13" hidden="1" x14ac:dyDescent="0.35">
      <c r="A16" s="1">
        <v>2306</v>
      </c>
      <c r="B16" s="2" t="s">
        <v>13</v>
      </c>
      <c r="C16" s="2" t="s">
        <v>40</v>
      </c>
      <c r="D16" s="2" t="s">
        <v>41</v>
      </c>
      <c r="E16" s="2" t="s">
        <v>39</v>
      </c>
      <c r="F16" s="1">
        <v>1</v>
      </c>
      <c r="G16" s="1">
        <v>8267.56</v>
      </c>
      <c r="H16" s="1">
        <v>0.28999999999999998</v>
      </c>
      <c r="I16" s="1">
        <v>5869.97</v>
      </c>
      <c r="J16" s="3">
        <v>45606</v>
      </c>
      <c r="K16" s="2" t="s">
        <v>22</v>
      </c>
      <c r="L16" s="2" t="s">
        <v>18</v>
      </c>
      <c r="M16" s="1">
        <v>476.25</v>
      </c>
    </row>
    <row r="17" spans="1:13" hidden="1" x14ac:dyDescent="0.35">
      <c r="A17" s="1">
        <v>2328</v>
      </c>
      <c r="B17" s="2" t="s">
        <v>34</v>
      </c>
      <c r="C17" s="2" t="s">
        <v>25</v>
      </c>
      <c r="D17" s="2" t="s">
        <v>38</v>
      </c>
      <c r="E17" s="2" t="s">
        <v>45</v>
      </c>
      <c r="F17" s="1">
        <v>2</v>
      </c>
      <c r="G17" s="1">
        <v>6449.46</v>
      </c>
      <c r="H17" s="1">
        <v>0.28999999999999998</v>
      </c>
      <c r="I17" s="1">
        <v>9158.23</v>
      </c>
      <c r="J17" s="3">
        <v>45605</v>
      </c>
      <c r="K17" s="2" t="s">
        <v>17</v>
      </c>
      <c r="L17" s="2" t="s">
        <v>24</v>
      </c>
      <c r="M17" s="1">
        <v>39.69</v>
      </c>
    </row>
    <row r="18" spans="1:13" hidden="1" x14ac:dyDescent="0.35">
      <c r="A18" s="1">
        <v>2367</v>
      </c>
      <c r="B18" s="2" t="s">
        <v>13</v>
      </c>
      <c r="C18" s="2" t="s">
        <v>25</v>
      </c>
      <c r="D18" s="2" t="s">
        <v>55</v>
      </c>
      <c r="E18" s="2" t="s">
        <v>31</v>
      </c>
      <c r="F18" s="1">
        <v>4</v>
      </c>
      <c r="G18" s="1">
        <v>6202.99</v>
      </c>
      <c r="H18" s="1">
        <v>0.84</v>
      </c>
      <c r="I18" s="1">
        <v>3969.91</v>
      </c>
      <c r="J18" s="3">
        <v>45608</v>
      </c>
      <c r="K18" s="2" t="s">
        <v>17</v>
      </c>
      <c r="L18" s="2" t="s">
        <v>18</v>
      </c>
      <c r="M18" s="1">
        <v>-202.12</v>
      </c>
    </row>
    <row r="19" spans="1:13" hidden="1" x14ac:dyDescent="0.35">
      <c r="A19" s="1">
        <v>2412</v>
      </c>
      <c r="B19" s="2" t="s">
        <v>13</v>
      </c>
      <c r="C19" s="2" t="s">
        <v>25</v>
      </c>
      <c r="D19" s="2" t="s">
        <v>26</v>
      </c>
      <c r="E19" s="2" t="s">
        <v>31</v>
      </c>
      <c r="F19" s="1">
        <v>1</v>
      </c>
      <c r="G19" s="1">
        <v>4920.3</v>
      </c>
      <c r="H19" s="1">
        <v>0.14000000000000001</v>
      </c>
      <c r="I19" s="1">
        <v>4231.46</v>
      </c>
      <c r="J19" s="3"/>
      <c r="K19" s="2" t="s">
        <v>22</v>
      </c>
      <c r="L19" s="2" t="s">
        <v>24</v>
      </c>
      <c r="M19" s="1">
        <v>1135.72</v>
      </c>
    </row>
    <row r="20" spans="1:13" x14ac:dyDescent="0.35">
      <c r="A20" s="1">
        <v>2413</v>
      </c>
      <c r="B20" s="2" t="s">
        <v>34</v>
      </c>
      <c r="C20" s="2" t="s">
        <v>14</v>
      </c>
      <c r="D20" s="2" t="s">
        <v>33</v>
      </c>
      <c r="E20" s="2" t="s">
        <v>31</v>
      </c>
      <c r="F20" s="1">
        <v>3</v>
      </c>
      <c r="G20" s="1">
        <v>7005.67</v>
      </c>
      <c r="H20" s="1">
        <v>0.15</v>
      </c>
      <c r="I20" s="1">
        <v>17864.46</v>
      </c>
      <c r="J20" s="3"/>
      <c r="K20" s="2" t="s">
        <v>22</v>
      </c>
      <c r="L20" s="2" t="s">
        <v>42</v>
      </c>
      <c r="M20" s="1">
        <v>2329.98</v>
      </c>
    </row>
    <row r="21" spans="1:13" hidden="1" x14ac:dyDescent="0.35">
      <c r="A21" s="1">
        <v>2432</v>
      </c>
      <c r="B21" s="2" t="s">
        <v>19</v>
      </c>
      <c r="C21" s="2" t="s">
        <v>40</v>
      </c>
      <c r="D21" s="2" t="s">
        <v>48</v>
      </c>
      <c r="E21" s="2" t="s">
        <v>27</v>
      </c>
      <c r="F21" s="1">
        <v>1</v>
      </c>
      <c r="G21" s="1">
        <v>3036.61</v>
      </c>
      <c r="H21" s="1">
        <v>0.86</v>
      </c>
      <c r="I21" s="1">
        <v>425.13</v>
      </c>
      <c r="J21" s="3">
        <v>45591</v>
      </c>
      <c r="K21" s="2" t="s">
        <v>17</v>
      </c>
      <c r="L21" s="2" t="s">
        <v>24</v>
      </c>
      <c r="M21" s="1">
        <v>3754.3</v>
      </c>
    </row>
    <row r="22" spans="1:13" hidden="1" x14ac:dyDescent="0.35">
      <c r="A22" s="1">
        <v>2460</v>
      </c>
      <c r="B22" s="2" t="s">
        <v>19</v>
      </c>
      <c r="C22" s="2" t="s">
        <v>40</v>
      </c>
      <c r="D22" s="2" t="s">
        <v>48</v>
      </c>
      <c r="E22" s="2" t="s">
        <v>31</v>
      </c>
      <c r="F22" s="1">
        <v>2</v>
      </c>
      <c r="G22" s="1">
        <v>5482.96</v>
      </c>
      <c r="H22" s="1">
        <v>0.35</v>
      </c>
      <c r="I22" s="1">
        <v>7127.85</v>
      </c>
      <c r="J22" s="3">
        <v>45600</v>
      </c>
      <c r="K22" s="2" t="s">
        <v>17</v>
      </c>
      <c r="L22" s="2" t="s">
        <v>42</v>
      </c>
      <c r="M22" s="1">
        <v>-823.8</v>
      </c>
    </row>
    <row r="23" spans="1:13" hidden="1" x14ac:dyDescent="0.35">
      <c r="A23" s="1">
        <v>2481</v>
      </c>
      <c r="B23" s="2" t="s">
        <v>19</v>
      </c>
      <c r="C23" s="2" t="s">
        <v>20</v>
      </c>
      <c r="D23" s="2" t="s">
        <v>23</v>
      </c>
      <c r="E23" s="2" t="s">
        <v>54</v>
      </c>
      <c r="F23" s="1">
        <v>1</v>
      </c>
      <c r="G23" s="1">
        <v>9145.3700000000008</v>
      </c>
      <c r="H23" s="1">
        <v>7.0000000000000007E-2</v>
      </c>
      <c r="I23" s="1">
        <v>8505.19</v>
      </c>
      <c r="J23" s="3">
        <v>45764</v>
      </c>
      <c r="K23" s="2" t="s">
        <v>17</v>
      </c>
      <c r="L23" s="2" t="s">
        <v>28</v>
      </c>
      <c r="M23" s="1">
        <v>1755.19</v>
      </c>
    </row>
    <row r="24" spans="1:13" hidden="1" x14ac:dyDescent="0.35">
      <c r="A24" s="1">
        <v>2487</v>
      </c>
      <c r="B24" s="2" t="s">
        <v>34</v>
      </c>
      <c r="C24" s="2" t="s">
        <v>29</v>
      </c>
      <c r="D24" s="2" t="s">
        <v>44</v>
      </c>
      <c r="E24" s="2" t="s">
        <v>27</v>
      </c>
      <c r="F24" s="1">
        <v>3</v>
      </c>
      <c r="G24" s="1">
        <v>5881.13</v>
      </c>
      <c r="H24" s="1">
        <v>0.8</v>
      </c>
      <c r="I24" s="1">
        <v>3528.68</v>
      </c>
      <c r="J24" s="3">
        <v>45747</v>
      </c>
      <c r="K24" s="2" t="s">
        <v>17</v>
      </c>
      <c r="L24" s="2" t="s">
        <v>36</v>
      </c>
      <c r="M24" s="1">
        <v>2108.4</v>
      </c>
    </row>
    <row r="25" spans="1:13" hidden="1" x14ac:dyDescent="0.35">
      <c r="A25" s="1">
        <v>2490</v>
      </c>
      <c r="B25" s="2" t="s">
        <v>19</v>
      </c>
      <c r="C25" s="2" t="s">
        <v>20</v>
      </c>
      <c r="D25" s="2" t="s">
        <v>23</v>
      </c>
      <c r="E25" s="2" t="s">
        <v>27</v>
      </c>
      <c r="F25" s="1">
        <v>3</v>
      </c>
      <c r="G25" s="1">
        <v>5015.1899999999996</v>
      </c>
      <c r="H25" s="1">
        <v>0.75</v>
      </c>
      <c r="I25" s="1">
        <v>3761.39</v>
      </c>
      <c r="J25" s="3">
        <v>45622</v>
      </c>
      <c r="K25" s="2" t="s">
        <v>17</v>
      </c>
      <c r="L25" s="2" t="s">
        <v>36</v>
      </c>
      <c r="M25" s="1">
        <v>-494.53</v>
      </c>
    </row>
    <row r="26" spans="1:13" hidden="1" x14ac:dyDescent="0.35">
      <c r="A26" s="1">
        <v>2496</v>
      </c>
      <c r="B26" s="2" t="s">
        <v>13</v>
      </c>
      <c r="C26" s="2" t="s">
        <v>29</v>
      </c>
      <c r="D26" s="2" t="s">
        <v>30</v>
      </c>
      <c r="E26" s="2" t="s">
        <v>16</v>
      </c>
      <c r="F26" s="1">
        <v>2</v>
      </c>
      <c r="G26" s="1">
        <v>4110.72</v>
      </c>
      <c r="H26" s="1">
        <v>0.32</v>
      </c>
      <c r="I26" s="1">
        <v>5590.58</v>
      </c>
      <c r="J26" s="3">
        <v>45650</v>
      </c>
      <c r="K26" s="2" t="s">
        <v>22</v>
      </c>
      <c r="L26" s="2" t="s">
        <v>18</v>
      </c>
      <c r="M26" s="1">
        <v>3894.95</v>
      </c>
    </row>
    <row r="27" spans="1:13" hidden="1" x14ac:dyDescent="0.35">
      <c r="A27" s="1">
        <v>2535</v>
      </c>
      <c r="B27" s="2" t="s">
        <v>34</v>
      </c>
      <c r="C27" s="2" t="s">
        <v>20</v>
      </c>
      <c r="D27" s="2" t="s">
        <v>21</v>
      </c>
      <c r="E27" s="2" t="s">
        <v>31</v>
      </c>
      <c r="F27" s="1">
        <v>2</v>
      </c>
      <c r="G27" s="1">
        <v>2786.84</v>
      </c>
      <c r="H27" s="1">
        <v>0.21</v>
      </c>
      <c r="I27" s="1">
        <v>4403.21</v>
      </c>
      <c r="J27" s="3">
        <v>45682</v>
      </c>
      <c r="K27" s="2" t="s">
        <v>17</v>
      </c>
      <c r="L27" s="2" t="s">
        <v>24</v>
      </c>
      <c r="M27" s="1">
        <v>3345.36</v>
      </c>
    </row>
    <row r="28" spans="1:13" hidden="1" x14ac:dyDescent="0.35">
      <c r="A28" s="1">
        <v>2550</v>
      </c>
      <c r="B28" s="2" t="s">
        <v>34</v>
      </c>
      <c r="C28" s="2" t="s">
        <v>20</v>
      </c>
      <c r="D28" s="2" t="s">
        <v>23</v>
      </c>
      <c r="E28" s="2" t="s">
        <v>31</v>
      </c>
      <c r="F28" s="1">
        <v>1</v>
      </c>
      <c r="G28" s="1">
        <v>6121.21</v>
      </c>
      <c r="H28" s="1">
        <v>0.05</v>
      </c>
      <c r="I28" s="1">
        <v>5815.15</v>
      </c>
      <c r="J28" s="3">
        <v>45177</v>
      </c>
      <c r="K28" s="2" t="s">
        <v>17</v>
      </c>
      <c r="L28" s="2" t="s">
        <v>42</v>
      </c>
      <c r="M28" s="1">
        <v>2470.08</v>
      </c>
    </row>
    <row r="29" spans="1:13" hidden="1" x14ac:dyDescent="0.35">
      <c r="A29" s="1">
        <v>2563</v>
      </c>
      <c r="B29" s="2" t="s">
        <v>34</v>
      </c>
      <c r="C29" s="2" t="s">
        <v>20</v>
      </c>
      <c r="D29" s="2" t="s">
        <v>37</v>
      </c>
      <c r="E29" s="2" t="s">
        <v>16</v>
      </c>
      <c r="F29" s="1">
        <v>2</v>
      </c>
      <c r="G29" s="1">
        <v>9443.35</v>
      </c>
      <c r="H29" s="1">
        <v>0.54</v>
      </c>
      <c r="I29" s="1">
        <v>8687.8799999999992</v>
      </c>
      <c r="J29" s="3">
        <v>45760</v>
      </c>
      <c r="K29" s="2" t="s">
        <v>22</v>
      </c>
      <c r="L29" s="2" t="s">
        <v>42</v>
      </c>
      <c r="M29" s="1">
        <v>2706.61</v>
      </c>
    </row>
    <row r="30" spans="1:13" hidden="1" x14ac:dyDescent="0.35">
      <c r="A30" s="1">
        <v>2569</v>
      </c>
      <c r="B30" s="2" t="s">
        <v>19</v>
      </c>
      <c r="C30" s="2" t="s">
        <v>40</v>
      </c>
      <c r="D30" s="2" t="s">
        <v>41</v>
      </c>
      <c r="E30" s="2" t="s">
        <v>27</v>
      </c>
      <c r="F30" s="1">
        <v>2</v>
      </c>
      <c r="G30" s="1">
        <v>9605.11</v>
      </c>
      <c r="H30" s="1">
        <v>0.88</v>
      </c>
      <c r="I30" s="1">
        <v>2305.23</v>
      </c>
      <c r="J30" s="3">
        <v>45528</v>
      </c>
      <c r="K30" s="2" t="s">
        <v>17</v>
      </c>
      <c r="L30" s="2" t="s">
        <v>36</v>
      </c>
      <c r="M30" s="1">
        <v>128.88999999999999</v>
      </c>
    </row>
    <row r="31" spans="1:13" hidden="1" x14ac:dyDescent="0.35">
      <c r="A31" s="1">
        <v>2594</v>
      </c>
      <c r="B31" s="2" t="s">
        <v>19</v>
      </c>
      <c r="C31" s="2" t="s">
        <v>14</v>
      </c>
      <c r="D31" s="2" t="s">
        <v>50</v>
      </c>
      <c r="E31" s="2" t="s">
        <v>31</v>
      </c>
      <c r="F31" s="1">
        <v>3</v>
      </c>
      <c r="G31" s="1">
        <v>7944.34</v>
      </c>
      <c r="H31" s="1">
        <v>0.67</v>
      </c>
      <c r="I31" s="1">
        <v>7864.9</v>
      </c>
      <c r="J31" s="3">
        <v>45345</v>
      </c>
      <c r="K31" s="2" t="s">
        <v>22</v>
      </c>
      <c r="L31" s="2" t="s">
        <v>36</v>
      </c>
      <c r="M31" s="1">
        <v>1534.91</v>
      </c>
    </row>
    <row r="32" spans="1:13" hidden="1" x14ac:dyDescent="0.35">
      <c r="A32" s="1">
        <v>2613</v>
      </c>
      <c r="B32" s="2" t="s">
        <v>19</v>
      </c>
      <c r="C32" s="2" t="s">
        <v>25</v>
      </c>
      <c r="D32" s="2" t="s">
        <v>38</v>
      </c>
      <c r="E32" s="2" t="s">
        <v>54</v>
      </c>
      <c r="F32" s="1">
        <v>3</v>
      </c>
      <c r="G32" s="1">
        <v>4374.83</v>
      </c>
      <c r="H32" s="1">
        <v>0.27</v>
      </c>
      <c r="I32" s="1">
        <v>9580.8799999999992</v>
      </c>
      <c r="J32" s="3"/>
      <c r="K32" s="2" t="s">
        <v>22</v>
      </c>
      <c r="L32" s="2" t="s">
        <v>32</v>
      </c>
      <c r="M32" s="1">
        <v>1473.37</v>
      </c>
    </row>
    <row r="33" spans="1:13" hidden="1" x14ac:dyDescent="0.35">
      <c r="A33" s="1">
        <v>2615</v>
      </c>
      <c r="B33" s="2" t="s">
        <v>19</v>
      </c>
      <c r="C33" s="2" t="s">
        <v>20</v>
      </c>
      <c r="D33" s="2" t="s">
        <v>51</v>
      </c>
      <c r="E33" s="2" t="s">
        <v>31</v>
      </c>
      <c r="F33" s="1">
        <v>3</v>
      </c>
      <c r="G33" s="1">
        <v>3042.37</v>
      </c>
      <c r="H33" s="1">
        <v>0.12</v>
      </c>
      <c r="I33" s="1">
        <v>8031.86</v>
      </c>
      <c r="J33" s="3">
        <v>45740</v>
      </c>
      <c r="K33" s="2" t="s">
        <v>17</v>
      </c>
      <c r="L33" s="2" t="s">
        <v>28</v>
      </c>
      <c r="M33" s="1">
        <v>2105.48</v>
      </c>
    </row>
    <row r="34" spans="1:13" hidden="1" x14ac:dyDescent="0.35">
      <c r="A34" s="1">
        <v>2621</v>
      </c>
      <c r="B34" s="2" t="s">
        <v>13</v>
      </c>
      <c r="C34" s="2" t="s">
        <v>20</v>
      </c>
      <c r="D34" s="2" t="s">
        <v>51</v>
      </c>
      <c r="E34" s="2" t="s">
        <v>27</v>
      </c>
      <c r="F34" s="1">
        <v>3</v>
      </c>
      <c r="G34" s="1">
        <v>6466.57</v>
      </c>
      <c r="H34" s="1">
        <v>0.59</v>
      </c>
      <c r="I34" s="1">
        <v>7953.88</v>
      </c>
      <c r="J34" s="3">
        <v>45431</v>
      </c>
      <c r="K34" s="2" t="s">
        <v>17</v>
      </c>
      <c r="L34" s="2" t="s">
        <v>18</v>
      </c>
      <c r="M34" s="1">
        <v>-1152.8599999999999</v>
      </c>
    </row>
    <row r="35" spans="1:13" hidden="1" x14ac:dyDescent="0.35">
      <c r="A35" s="1">
        <v>2709</v>
      </c>
      <c r="B35" s="2" t="s">
        <v>13</v>
      </c>
      <c r="C35" s="2" t="s">
        <v>29</v>
      </c>
      <c r="D35" s="2" t="s">
        <v>46</v>
      </c>
      <c r="E35" s="2" t="s">
        <v>56</v>
      </c>
      <c r="F35" s="1">
        <v>1</v>
      </c>
      <c r="G35" s="1">
        <v>6302.98</v>
      </c>
      <c r="H35" s="1">
        <v>0.48</v>
      </c>
      <c r="I35" s="1">
        <v>3277.55</v>
      </c>
      <c r="J35" s="3">
        <v>45724</v>
      </c>
      <c r="K35" s="2" t="s">
        <v>22</v>
      </c>
      <c r="L35" s="2" t="s">
        <v>32</v>
      </c>
      <c r="M35" s="1">
        <v>2835.93</v>
      </c>
    </row>
    <row r="36" spans="1:13" hidden="1" x14ac:dyDescent="0.35">
      <c r="A36" s="1">
        <v>2713</v>
      </c>
      <c r="B36" s="2" t="s">
        <v>34</v>
      </c>
      <c r="C36" s="2" t="s">
        <v>25</v>
      </c>
      <c r="D36" s="2" t="s">
        <v>57</v>
      </c>
      <c r="E36" s="2" t="s">
        <v>27</v>
      </c>
      <c r="F36" s="1">
        <v>1</v>
      </c>
      <c r="G36" s="1">
        <v>7877.36</v>
      </c>
      <c r="H36" s="1">
        <v>0.55000000000000004</v>
      </c>
      <c r="I36" s="1">
        <v>3544.81</v>
      </c>
      <c r="J36" s="3">
        <v>45787</v>
      </c>
      <c r="K36" s="2" t="s">
        <v>22</v>
      </c>
      <c r="L36" s="2" t="s">
        <v>42</v>
      </c>
      <c r="M36" s="1">
        <v>3663.49</v>
      </c>
    </row>
    <row r="37" spans="1:13" hidden="1" x14ac:dyDescent="0.35">
      <c r="A37" s="1">
        <v>2780</v>
      </c>
      <c r="B37" s="2" t="s">
        <v>34</v>
      </c>
      <c r="C37" s="2" t="s">
        <v>14</v>
      </c>
      <c r="D37" s="2" t="s">
        <v>52</v>
      </c>
      <c r="E37" s="2" t="s">
        <v>45</v>
      </c>
      <c r="F37" s="1">
        <v>1</v>
      </c>
      <c r="G37" s="1">
        <v>4308.75</v>
      </c>
      <c r="H37" s="1">
        <v>0.32</v>
      </c>
      <c r="I37" s="1">
        <v>2929.95</v>
      </c>
      <c r="J37" s="3"/>
      <c r="K37" s="2" t="s">
        <v>17</v>
      </c>
      <c r="L37" s="2" t="s">
        <v>36</v>
      </c>
      <c r="M37" s="1">
        <v>799.35</v>
      </c>
    </row>
    <row r="38" spans="1:13" hidden="1" x14ac:dyDescent="0.35">
      <c r="A38" s="1">
        <v>2781</v>
      </c>
      <c r="B38" s="2" t="s">
        <v>34</v>
      </c>
      <c r="C38" s="2" t="s">
        <v>14</v>
      </c>
      <c r="D38" s="2" t="s">
        <v>52</v>
      </c>
      <c r="E38" s="2" t="s">
        <v>49</v>
      </c>
      <c r="F38" s="1">
        <v>1</v>
      </c>
      <c r="G38" s="1">
        <v>6546.59</v>
      </c>
      <c r="H38" s="1">
        <v>0.68</v>
      </c>
      <c r="I38" s="1">
        <v>2094.91</v>
      </c>
      <c r="J38" s="3">
        <v>45172</v>
      </c>
      <c r="K38" s="2" t="s">
        <v>22</v>
      </c>
      <c r="L38" s="2" t="s">
        <v>18</v>
      </c>
      <c r="M38" s="1">
        <v>1504.31</v>
      </c>
    </row>
    <row r="39" spans="1:13" hidden="1" x14ac:dyDescent="0.35">
      <c r="A39" s="1">
        <v>2799</v>
      </c>
      <c r="B39" s="2" t="s">
        <v>13</v>
      </c>
      <c r="C39" s="2" t="s">
        <v>14</v>
      </c>
      <c r="D39" s="2" t="s">
        <v>15</v>
      </c>
      <c r="E39" s="2" t="s">
        <v>39</v>
      </c>
      <c r="F39" s="1">
        <v>3</v>
      </c>
      <c r="G39" s="1">
        <v>2359.4699999999998</v>
      </c>
      <c r="H39" s="1">
        <v>0.54</v>
      </c>
      <c r="I39" s="1">
        <v>3256.07</v>
      </c>
      <c r="J39" s="3">
        <v>45846</v>
      </c>
      <c r="K39" s="2" t="s">
        <v>17</v>
      </c>
      <c r="L39" s="2" t="s">
        <v>24</v>
      </c>
      <c r="M39" s="1">
        <v>3165.65</v>
      </c>
    </row>
    <row r="40" spans="1:13" hidden="1" x14ac:dyDescent="0.35">
      <c r="A40" s="1">
        <v>2810</v>
      </c>
      <c r="B40" s="2" t="s">
        <v>34</v>
      </c>
      <c r="C40" s="2" t="s">
        <v>29</v>
      </c>
      <c r="D40" s="2" t="s">
        <v>44</v>
      </c>
      <c r="E40" s="2" t="s">
        <v>54</v>
      </c>
      <c r="F40" s="1">
        <v>2</v>
      </c>
      <c r="G40" s="1">
        <v>2943.44</v>
      </c>
      <c r="H40" s="1">
        <v>0.53</v>
      </c>
      <c r="I40" s="1">
        <v>2766.83</v>
      </c>
      <c r="J40" s="3"/>
      <c r="K40" s="2" t="s">
        <v>22</v>
      </c>
      <c r="L40" s="2" t="s">
        <v>36</v>
      </c>
      <c r="M40" s="1">
        <v>405.67</v>
      </c>
    </row>
    <row r="41" spans="1:13" hidden="1" x14ac:dyDescent="0.35">
      <c r="A41" s="1">
        <v>2812</v>
      </c>
      <c r="B41" s="2" t="s">
        <v>34</v>
      </c>
      <c r="C41" s="2" t="s">
        <v>40</v>
      </c>
      <c r="D41" s="2" t="s">
        <v>58</v>
      </c>
      <c r="E41" s="2" t="s">
        <v>39</v>
      </c>
      <c r="F41" s="1">
        <v>2</v>
      </c>
      <c r="G41" s="1">
        <v>9507.39</v>
      </c>
      <c r="H41" s="1">
        <v>0.01</v>
      </c>
      <c r="I41" s="1">
        <v>18824.63</v>
      </c>
      <c r="J41" s="3">
        <v>45512</v>
      </c>
      <c r="K41" s="2" t="s">
        <v>17</v>
      </c>
      <c r="L41" s="2" t="s">
        <v>42</v>
      </c>
      <c r="M41" s="1">
        <v>2570.0100000000002</v>
      </c>
    </row>
    <row r="42" spans="1:13" hidden="1" x14ac:dyDescent="0.35">
      <c r="A42" s="1">
        <v>2844</v>
      </c>
      <c r="B42" s="2" t="s">
        <v>34</v>
      </c>
      <c r="C42" s="2" t="s">
        <v>25</v>
      </c>
      <c r="D42" s="2" t="s">
        <v>38</v>
      </c>
      <c r="E42" s="2" t="s">
        <v>39</v>
      </c>
      <c r="F42" s="1">
        <v>2</v>
      </c>
      <c r="G42" s="1">
        <v>6495.53</v>
      </c>
      <c r="H42" s="1">
        <v>0.23</v>
      </c>
      <c r="I42" s="1">
        <v>10003.120000000001</v>
      </c>
      <c r="J42" s="3"/>
      <c r="K42" s="2" t="s">
        <v>22</v>
      </c>
      <c r="L42" s="2" t="s">
        <v>24</v>
      </c>
      <c r="M42" s="1">
        <v>-951.85</v>
      </c>
    </row>
    <row r="43" spans="1:13" hidden="1" x14ac:dyDescent="0.35">
      <c r="A43" s="1">
        <v>2904</v>
      </c>
      <c r="B43" s="2" t="s">
        <v>19</v>
      </c>
      <c r="C43" s="2" t="s">
        <v>20</v>
      </c>
      <c r="D43" s="2" t="s">
        <v>21</v>
      </c>
      <c r="E43" s="2" t="s">
        <v>43</v>
      </c>
      <c r="F43" s="1">
        <v>2</v>
      </c>
      <c r="G43" s="1">
        <v>8644.67</v>
      </c>
      <c r="H43" s="1">
        <v>0.54</v>
      </c>
      <c r="I43" s="1">
        <v>7953.1</v>
      </c>
      <c r="J43" s="3">
        <v>45776</v>
      </c>
      <c r="K43" s="2" t="s">
        <v>17</v>
      </c>
      <c r="L43" s="2" t="s">
        <v>18</v>
      </c>
      <c r="M43" s="1">
        <v>2711.75</v>
      </c>
    </row>
    <row r="44" spans="1:13" hidden="1" x14ac:dyDescent="0.35">
      <c r="A44" s="1">
        <v>2912</v>
      </c>
      <c r="B44" s="2" t="s">
        <v>13</v>
      </c>
      <c r="C44" s="2" t="s">
        <v>29</v>
      </c>
      <c r="D44" s="2" t="s">
        <v>30</v>
      </c>
      <c r="E44" s="2" t="s">
        <v>31</v>
      </c>
      <c r="F44" s="1">
        <v>2</v>
      </c>
      <c r="G44" s="1">
        <v>9839.6299999999992</v>
      </c>
      <c r="H44" s="1">
        <v>0.98</v>
      </c>
      <c r="I44" s="1">
        <v>393.59</v>
      </c>
      <c r="J44" s="3">
        <v>45358</v>
      </c>
      <c r="K44" s="2" t="s">
        <v>17</v>
      </c>
      <c r="L44" s="2" t="s">
        <v>18</v>
      </c>
      <c r="M44" s="1">
        <v>1218.22</v>
      </c>
    </row>
    <row r="45" spans="1:13" x14ac:dyDescent="0.35">
      <c r="A45" s="1">
        <v>2936</v>
      </c>
      <c r="B45" s="2" t="s">
        <v>19</v>
      </c>
      <c r="C45" s="2" t="s">
        <v>14</v>
      </c>
      <c r="D45" s="2" t="s">
        <v>33</v>
      </c>
      <c r="E45" s="2" t="s">
        <v>31</v>
      </c>
      <c r="F45" s="1">
        <v>1</v>
      </c>
      <c r="G45" s="1">
        <v>6496.58</v>
      </c>
      <c r="H45" s="1">
        <v>0.28999999999999998</v>
      </c>
      <c r="I45" s="1">
        <v>4612.57</v>
      </c>
      <c r="J45" s="3">
        <v>45504</v>
      </c>
      <c r="K45" s="2" t="s">
        <v>22</v>
      </c>
      <c r="L45" s="2" t="s">
        <v>28</v>
      </c>
      <c r="M45" s="1">
        <v>1933.1</v>
      </c>
    </row>
    <row r="46" spans="1:13" x14ac:dyDescent="0.35">
      <c r="A46" s="1">
        <v>2942</v>
      </c>
      <c r="B46" s="2" t="s">
        <v>19</v>
      </c>
      <c r="C46" s="2" t="s">
        <v>14</v>
      </c>
      <c r="D46" s="2" t="s">
        <v>33</v>
      </c>
      <c r="E46" s="2" t="s">
        <v>56</v>
      </c>
      <c r="F46" s="1">
        <v>4</v>
      </c>
      <c r="G46" s="1">
        <v>5222.3900000000003</v>
      </c>
      <c r="H46" s="1">
        <v>0.56999999999999995</v>
      </c>
      <c r="I46" s="1">
        <v>8982.51</v>
      </c>
      <c r="J46" s="3">
        <v>45763</v>
      </c>
      <c r="K46" s="2" t="s">
        <v>17</v>
      </c>
      <c r="L46" s="2" t="s">
        <v>18</v>
      </c>
      <c r="M46" s="1">
        <v>-68.53</v>
      </c>
    </row>
    <row r="47" spans="1:13" hidden="1" x14ac:dyDescent="0.35">
      <c r="A47" s="1">
        <v>2977</v>
      </c>
      <c r="B47" s="2" t="s">
        <v>13</v>
      </c>
      <c r="C47" s="2" t="s">
        <v>14</v>
      </c>
      <c r="D47" s="2" t="s">
        <v>50</v>
      </c>
      <c r="E47" s="2" t="s">
        <v>59</v>
      </c>
      <c r="F47" s="1">
        <v>3</v>
      </c>
      <c r="G47" s="1">
        <v>2959.26</v>
      </c>
      <c r="H47" s="1">
        <v>0.37</v>
      </c>
      <c r="I47" s="1">
        <v>5593</v>
      </c>
      <c r="J47" s="3"/>
      <c r="K47" s="2" t="s">
        <v>17</v>
      </c>
      <c r="L47" s="2" t="s">
        <v>42</v>
      </c>
      <c r="M47" s="1">
        <v>-821.76</v>
      </c>
    </row>
    <row r="48" spans="1:13" hidden="1" x14ac:dyDescent="0.35">
      <c r="A48" s="1">
        <v>3030</v>
      </c>
      <c r="B48" s="2" t="s">
        <v>34</v>
      </c>
      <c r="C48" s="2" t="s">
        <v>20</v>
      </c>
      <c r="D48" s="2" t="s">
        <v>37</v>
      </c>
      <c r="E48" s="2" t="s">
        <v>39</v>
      </c>
      <c r="F48" s="1">
        <v>3</v>
      </c>
      <c r="G48" s="1">
        <v>6969.28</v>
      </c>
      <c r="H48" s="1">
        <v>0.57999999999999996</v>
      </c>
      <c r="I48" s="1">
        <v>8781.2900000000009</v>
      </c>
      <c r="J48" s="3">
        <v>45146</v>
      </c>
      <c r="K48" s="2" t="s">
        <v>17</v>
      </c>
      <c r="L48" s="2" t="s">
        <v>42</v>
      </c>
      <c r="M48" s="1">
        <v>98.19</v>
      </c>
    </row>
    <row r="49" spans="1:13" hidden="1" x14ac:dyDescent="0.35">
      <c r="A49" s="1">
        <v>3047</v>
      </c>
      <c r="B49" s="2" t="s">
        <v>19</v>
      </c>
      <c r="C49" s="2" t="s">
        <v>40</v>
      </c>
      <c r="D49" s="2" t="s">
        <v>47</v>
      </c>
      <c r="E49" s="2" t="s">
        <v>39</v>
      </c>
      <c r="F49" s="1">
        <v>3</v>
      </c>
      <c r="G49" s="1">
        <v>6175.84</v>
      </c>
      <c r="H49" s="1">
        <v>0.9</v>
      </c>
      <c r="I49" s="1">
        <v>1852.75</v>
      </c>
      <c r="J49" s="3">
        <v>45579</v>
      </c>
      <c r="K49" s="2" t="s">
        <v>17</v>
      </c>
      <c r="L49" s="2" t="s">
        <v>36</v>
      </c>
      <c r="M49" s="1">
        <v>-960.94</v>
      </c>
    </row>
    <row r="50" spans="1:13" hidden="1" x14ac:dyDescent="0.35">
      <c r="A50" s="1">
        <v>3062</v>
      </c>
      <c r="B50" s="2" t="s">
        <v>19</v>
      </c>
      <c r="C50" s="2" t="s">
        <v>20</v>
      </c>
      <c r="D50" s="2" t="s">
        <v>51</v>
      </c>
      <c r="E50" s="2" t="s">
        <v>39</v>
      </c>
      <c r="F50" s="1">
        <v>1</v>
      </c>
      <c r="G50" s="1">
        <v>6936.34</v>
      </c>
      <c r="H50" s="1">
        <v>0.46</v>
      </c>
      <c r="I50" s="1">
        <v>3745.62</v>
      </c>
      <c r="J50" s="3">
        <v>45735</v>
      </c>
      <c r="K50" s="2" t="s">
        <v>22</v>
      </c>
      <c r="L50" s="2" t="s">
        <v>24</v>
      </c>
      <c r="M50" s="1">
        <v>1647.34</v>
      </c>
    </row>
    <row r="51" spans="1:13" hidden="1" x14ac:dyDescent="0.35">
      <c r="A51" s="1">
        <v>3091</v>
      </c>
      <c r="B51" s="2" t="s">
        <v>19</v>
      </c>
      <c r="C51" s="2" t="s">
        <v>40</v>
      </c>
      <c r="D51" s="2" t="s">
        <v>41</v>
      </c>
      <c r="E51" s="2" t="s">
        <v>39</v>
      </c>
      <c r="F51" s="1">
        <v>1</v>
      </c>
      <c r="G51" s="1">
        <v>8666.84</v>
      </c>
      <c r="H51" s="1">
        <v>0.3</v>
      </c>
      <c r="I51" s="1">
        <v>6066.79</v>
      </c>
      <c r="J51" s="3">
        <v>45701</v>
      </c>
      <c r="K51" s="2" t="s">
        <v>17</v>
      </c>
      <c r="L51" s="2" t="s">
        <v>36</v>
      </c>
      <c r="M51" s="1">
        <v>204.77</v>
      </c>
    </row>
    <row r="52" spans="1:13" hidden="1" x14ac:dyDescent="0.35">
      <c r="A52" s="1">
        <v>3127</v>
      </c>
      <c r="B52" s="2" t="s">
        <v>34</v>
      </c>
      <c r="C52" s="2" t="s">
        <v>14</v>
      </c>
      <c r="D52" s="2" t="s">
        <v>50</v>
      </c>
      <c r="E52" s="2" t="s">
        <v>31</v>
      </c>
      <c r="F52" s="1">
        <v>1</v>
      </c>
      <c r="G52" s="1">
        <v>4614.33</v>
      </c>
      <c r="H52" s="1">
        <v>0.47</v>
      </c>
      <c r="I52" s="1">
        <v>2445.59</v>
      </c>
      <c r="J52" s="3">
        <v>45572</v>
      </c>
      <c r="K52" s="2" t="s">
        <v>17</v>
      </c>
      <c r="L52" s="2" t="s">
        <v>28</v>
      </c>
      <c r="M52" s="1">
        <v>-440.44</v>
      </c>
    </row>
    <row r="53" spans="1:13" x14ac:dyDescent="0.35">
      <c r="A53" s="1">
        <v>3143</v>
      </c>
      <c r="B53" s="2" t="s">
        <v>34</v>
      </c>
      <c r="C53" s="2" t="s">
        <v>14</v>
      </c>
      <c r="D53" s="2" t="s">
        <v>33</v>
      </c>
      <c r="E53" s="2" t="s">
        <v>54</v>
      </c>
      <c r="F53" s="1">
        <v>3</v>
      </c>
      <c r="G53" s="1">
        <v>3938.59</v>
      </c>
      <c r="H53" s="1">
        <v>0.98</v>
      </c>
      <c r="I53" s="1">
        <v>236.32</v>
      </c>
      <c r="J53" s="3">
        <v>45527</v>
      </c>
      <c r="K53" s="2" t="s">
        <v>17</v>
      </c>
      <c r="L53" s="2" t="s">
        <v>24</v>
      </c>
      <c r="M53" s="1">
        <v>635.39</v>
      </c>
    </row>
    <row r="54" spans="1:13" hidden="1" x14ac:dyDescent="0.35">
      <c r="A54" s="1">
        <v>3165</v>
      </c>
      <c r="B54" s="2" t="s">
        <v>19</v>
      </c>
      <c r="C54" s="2" t="s">
        <v>20</v>
      </c>
      <c r="D54" s="2" t="s">
        <v>51</v>
      </c>
      <c r="E54" s="2" t="s">
        <v>31</v>
      </c>
      <c r="F54" s="1">
        <v>2</v>
      </c>
      <c r="G54" s="1">
        <v>2530.29</v>
      </c>
      <c r="H54" s="1">
        <v>0.28999999999999998</v>
      </c>
      <c r="I54" s="1">
        <v>3593.01</v>
      </c>
      <c r="J54" s="3">
        <v>45705</v>
      </c>
      <c r="K54" s="2" t="s">
        <v>17</v>
      </c>
      <c r="L54" s="2" t="s">
        <v>42</v>
      </c>
      <c r="M54" s="1">
        <v>3264.03</v>
      </c>
    </row>
    <row r="55" spans="1:13" hidden="1" x14ac:dyDescent="0.35">
      <c r="A55" s="1">
        <v>3177</v>
      </c>
      <c r="B55" s="2" t="s">
        <v>13</v>
      </c>
      <c r="C55" s="2" t="s">
        <v>25</v>
      </c>
      <c r="D55" s="2" t="s">
        <v>57</v>
      </c>
      <c r="E55" s="2" t="s">
        <v>27</v>
      </c>
      <c r="F55" s="1">
        <v>3</v>
      </c>
      <c r="G55" s="1">
        <v>7042.12</v>
      </c>
      <c r="H55" s="1">
        <v>0.89</v>
      </c>
      <c r="I55" s="1">
        <v>2323.9</v>
      </c>
      <c r="J55" s="3"/>
      <c r="K55" s="2" t="s">
        <v>17</v>
      </c>
      <c r="L55" s="2" t="s">
        <v>24</v>
      </c>
      <c r="M55" s="1">
        <v>-411.55</v>
      </c>
    </row>
    <row r="56" spans="1:13" hidden="1" x14ac:dyDescent="0.35">
      <c r="A56" s="1">
        <v>3189</v>
      </c>
      <c r="B56" s="2" t="s">
        <v>34</v>
      </c>
      <c r="C56" s="2" t="s">
        <v>40</v>
      </c>
      <c r="D56" s="2" t="s">
        <v>58</v>
      </c>
      <c r="E56" s="2" t="s">
        <v>27</v>
      </c>
      <c r="F56" s="1">
        <v>3</v>
      </c>
      <c r="G56" s="1">
        <v>6730.48</v>
      </c>
      <c r="H56" s="1">
        <v>0.33</v>
      </c>
      <c r="I56" s="1">
        <v>13528.26</v>
      </c>
      <c r="J56" s="3">
        <v>45696</v>
      </c>
      <c r="K56" s="2" t="s">
        <v>17</v>
      </c>
      <c r="L56" s="2" t="s">
        <v>42</v>
      </c>
      <c r="M56" s="1">
        <v>1456.87</v>
      </c>
    </row>
    <row r="57" spans="1:13" hidden="1" x14ac:dyDescent="0.35">
      <c r="A57" s="1">
        <v>3217</v>
      </c>
      <c r="B57" s="2" t="s">
        <v>34</v>
      </c>
      <c r="C57" s="2" t="s">
        <v>20</v>
      </c>
      <c r="D57" s="2" t="s">
        <v>21</v>
      </c>
      <c r="E57" s="2" t="s">
        <v>45</v>
      </c>
      <c r="F57" s="1">
        <v>1</v>
      </c>
      <c r="G57" s="1">
        <v>4819.75</v>
      </c>
      <c r="H57" s="1">
        <v>0.22</v>
      </c>
      <c r="I57" s="1">
        <v>3759.41</v>
      </c>
      <c r="J57" s="3">
        <v>45703</v>
      </c>
      <c r="K57" s="2" t="s">
        <v>22</v>
      </c>
      <c r="L57" s="2" t="s">
        <v>28</v>
      </c>
      <c r="M57" s="1">
        <v>-514.9</v>
      </c>
    </row>
    <row r="58" spans="1:13" hidden="1" x14ac:dyDescent="0.35">
      <c r="A58" s="1">
        <v>3221</v>
      </c>
      <c r="B58" s="2" t="s">
        <v>19</v>
      </c>
      <c r="C58" s="2" t="s">
        <v>40</v>
      </c>
      <c r="D58" s="2" t="s">
        <v>58</v>
      </c>
      <c r="E58" s="2" t="s">
        <v>39</v>
      </c>
      <c r="F58" s="1">
        <v>2</v>
      </c>
      <c r="G58" s="1">
        <v>9682.68</v>
      </c>
      <c r="H58" s="1">
        <v>0.88</v>
      </c>
      <c r="I58" s="1">
        <v>2323.84</v>
      </c>
      <c r="J58" s="3">
        <v>45556</v>
      </c>
      <c r="K58" s="2" t="s">
        <v>17</v>
      </c>
      <c r="L58" s="2" t="s">
        <v>28</v>
      </c>
      <c r="M58" s="1">
        <v>1650.44</v>
      </c>
    </row>
    <row r="59" spans="1:13" hidden="1" x14ac:dyDescent="0.35">
      <c r="A59" s="1">
        <v>3224</v>
      </c>
      <c r="B59" s="2" t="s">
        <v>19</v>
      </c>
      <c r="C59" s="2" t="s">
        <v>20</v>
      </c>
      <c r="D59" s="2" t="s">
        <v>51</v>
      </c>
      <c r="E59" s="2" t="s">
        <v>39</v>
      </c>
      <c r="F59" s="1">
        <v>1</v>
      </c>
      <c r="G59" s="1">
        <v>9872.3799999999992</v>
      </c>
      <c r="H59" s="1">
        <v>0.18</v>
      </c>
      <c r="I59" s="1">
        <v>8095.35</v>
      </c>
      <c r="J59" s="3">
        <v>45734</v>
      </c>
      <c r="K59" s="2" t="s">
        <v>22</v>
      </c>
      <c r="L59" s="2" t="s">
        <v>28</v>
      </c>
      <c r="M59" s="1">
        <v>233.85</v>
      </c>
    </row>
    <row r="60" spans="1:13" hidden="1" x14ac:dyDescent="0.35">
      <c r="A60" s="1">
        <v>3238</v>
      </c>
      <c r="B60" s="2" t="s">
        <v>19</v>
      </c>
      <c r="C60" s="2" t="s">
        <v>14</v>
      </c>
      <c r="D60" s="2" t="s">
        <v>15</v>
      </c>
      <c r="E60" s="2" t="s">
        <v>31</v>
      </c>
      <c r="F60" s="1">
        <v>1</v>
      </c>
      <c r="G60" s="1">
        <v>4420.21</v>
      </c>
      <c r="H60" s="1">
        <v>0.32</v>
      </c>
      <c r="I60" s="1">
        <v>3005.74</v>
      </c>
      <c r="J60" s="3"/>
      <c r="K60" s="2" t="s">
        <v>22</v>
      </c>
      <c r="L60" s="2" t="s">
        <v>24</v>
      </c>
      <c r="M60" s="1">
        <v>705.58</v>
      </c>
    </row>
    <row r="61" spans="1:13" hidden="1" x14ac:dyDescent="0.35">
      <c r="A61" s="1">
        <v>3274</v>
      </c>
      <c r="B61" s="2" t="s">
        <v>34</v>
      </c>
      <c r="C61" s="2" t="s">
        <v>14</v>
      </c>
      <c r="D61" s="2" t="s">
        <v>15</v>
      </c>
      <c r="E61" s="2" t="s">
        <v>27</v>
      </c>
      <c r="F61" s="1">
        <v>3</v>
      </c>
      <c r="G61" s="1">
        <v>6031.14</v>
      </c>
      <c r="H61" s="1">
        <v>0.15</v>
      </c>
      <c r="I61" s="1">
        <v>15379.41</v>
      </c>
      <c r="J61" s="3">
        <v>45780</v>
      </c>
      <c r="K61" s="2" t="s">
        <v>22</v>
      </c>
      <c r="L61" s="2" t="s">
        <v>36</v>
      </c>
      <c r="M61" s="1">
        <v>169.05</v>
      </c>
    </row>
    <row r="62" spans="1:13" hidden="1" x14ac:dyDescent="0.35">
      <c r="A62" s="1">
        <v>3279</v>
      </c>
      <c r="B62" s="2" t="s">
        <v>13</v>
      </c>
      <c r="C62" s="2" t="s">
        <v>20</v>
      </c>
      <c r="D62" s="2" t="s">
        <v>37</v>
      </c>
      <c r="E62" s="2" t="s">
        <v>31</v>
      </c>
      <c r="F62" s="1">
        <v>4</v>
      </c>
      <c r="G62" s="1">
        <v>2572.41</v>
      </c>
      <c r="H62" s="1">
        <v>0.1</v>
      </c>
      <c r="I62" s="1">
        <v>9260.68</v>
      </c>
      <c r="J62" s="3">
        <v>45605</v>
      </c>
      <c r="K62" s="2" t="s">
        <v>22</v>
      </c>
      <c r="L62" s="2" t="s">
        <v>32</v>
      </c>
      <c r="M62" s="1">
        <v>3098.28</v>
      </c>
    </row>
    <row r="63" spans="1:13" x14ac:dyDescent="0.35">
      <c r="A63" s="1">
        <v>3357</v>
      </c>
      <c r="B63" s="2" t="s">
        <v>13</v>
      </c>
      <c r="C63" s="2" t="s">
        <v>14</v>
      </c>
      <c r="D63" s="2" t="s">
        <v>33</v>
      </c>
      <c r="E63" s="2" t="s">
        <v>16</v>
      </c>
      <c r="F63" s="1">
        <v>4</v>
      </c>
      <c r="G63" s="1">
        <v>6206.45</v>
      </c>
      <c r="H63" s="1">
        <v>0.5</v>
      </c>
      <c r="I63" s="1">
        <v>12412.9</v>
      </c>
      <c r="J63" s="3">
        <v>45752</v>
      </c>
      <c r="K63" s="2" t="s">
        <v>17</v>
      </c>
      <c r="L63" s="2" t="s">
        <v>32</v>
      </c>
      <c r="M63" s="1">
        <v>678.42</v>
      </c>
    </row>
    <row r="64" spans="1:13" hidden="1" x14ac:dyDescent="0.35">
      <c r="A64" s="1">
        <v>3379</v>
      </c>
      <c r="B64" s="2" t="s">
        <v>34</v>
      </c>
      <c r="C64" s="2" t="s">
        <v>40</v>
      </c>
      <c r="D64" s="2" t="s">
        <v>41</v>
      </c>
      <c r="E64" s="2" t="s">
        <v>39</v>
      </c>
      <c r="F64" s="1">
        <v>2</v>
      </c>
      <c r="G64" s="1">
        <v>5000.49</v>
      </c>
      <c r="H64" s="1">
        <v>0.86</v>
      </c>
      <c r="I64" s="1">
        <v>1400.14</v>
      </c>
      <c r="J64" s="3">
        <v>45588</v>
      </c>
      <c r="K64" s="2" t="s">
        <v>22</v>
      </c>
      <c r="L64" s="2" t="s">
        <v>28</v>
      </c>
      <c r="M64" s="1">
        <v>3000.14</v>
      </c>
    </row>
    <row r="65" spans="1:13" hidden="1" x14ac:dyDescent="0.35">
      <c r="A65" s="1">
        <v>3409</v>
      </c>
      <c r="B65" s="2" t="s">
        <v>13</v>
      </c>
      <c r="C65" s="2" t="s">
        <v>29</v>
      </c>
      <c r="D65" s="2" t="s">
        <v>44</v>
      </c>
      <c r="E65" s="2" t="s">
        <v>16</v>
      </c>
      <c r="F65" s="1">
        <v>1</v>
      </c>
      <c r="G65" s="1">
        <v>6312.01</v>
      </c>
      <c r="H65" s="1">
        <v>0.3</v>
      </c>
      <c r="I65" s="1">
        <v>4418.41</v>
      </c>
      <c r="J65" s="3">
        <v>45543</v>
      </c>
      <c r="K65" s="2" t="s">
        <v>22</v>
      </c>
      <c r="L65" s="2" t="s">
        <v>32</v>
      </c>
      <c r="M65" s="1">
        <v>-1106.07</v>
      </c>
    </row>
    <row r="66" spans="1:13" hidden="1" x14ac:dyDescent="0.35">
      <c r="A66" s="1">
        <v>3428</v>
      </c>
      <c r="B66" s="2" t="s">
        <v>19</v>
      </c>
      <c r="C66" s="2" t="s">
        <v>40</v>
      </c>
      <c r="D66" s="2" t="s">
        <v>41</v>
      </c>
      <c r="E66" s="2" t="s">
        <v>45</v>
      </c>
      <c r="F66" s="1">
        <v>1</v>
      </c>
      <c r="G66" s="1">
        <v>2825.86</v>
      </c>
      <c r="H66" s="1">
        <v>0.23</v>
      </c>
      <c r="I66" s="1">
        <v>2175.91</v>
      </c>
      <c r="J66" s="3">
        <v>45629</v>
      </c>
      <c r="K66" s="2" t="s">
        <v>17</v>
      </c>
      <c r="L66" s="2" t="s">
        <v>18</v>
      </c>
      <c r="M66" s="1">
        <v>625.29999999999995</v>
      </c>
    </row>
    <row r="67" spans="1:13" hidden="1" x14ac:dyDescent="0.35">
      <c r="A67" s="1">
        <v>3466</v>
      </c>
      <c r="B67" s="2" t="s">
        <v>34</v>
      </c>
      <c r="C67" s="2" t="s">
        <v>40</v>
      </c>
      <c r="D67" s="2" t="s">
        <v>47</v>
      </c>
      <c r="E67" s="2" t="s">
        <v>39</v>
      </c>
      <c r="F67" s="1">
        <v>2</v>
      </c>
      <c r="G67" s="1">
        <v>6498.22</v>
      </c>
      <c r="H67" s="1">
        <v>0.5</v>
      </c>
      <c r="I67" s="1">
        <v>6498.22</v>
      </c>
      <c r="J67" s="3">
        <v>45589</v>
      </c>
      <c r="K67" s="2" t="s">
        <v>22</v>
      </c>
      <c r="L67" s="2" t="s">
        <v>24</v>
      </c>
      <c r="M67" s="1">
        <v>-360.53</v>
      </c>
    </row>
    <row r="68" spans="1:13" hidden="1" x14ac:dyDescent="0.35">
      <c r="A68" s="1">
        <v>3468</v>
      </c>
      <c r="B68" s="2" t="s">
        <v>34</v>
      </c>
      <c r="C68" s="2" t="s">
        <v>20</v>
      </c>
      <c r="D68" s="2" t="s">
        <v>51</v>
      </c>
      <c r="E68" s="2" t="s">
        <v>39</v>
      </c>
      <c r="F68" s="1">
        <v>4</v>
      </c>
      <c r="G68" s="1">
        <v>9577.99</v>
      </c>
      <c r="H68" s="1">
        <v>0.93</v>
      </c>
      <c r="I68" s="1">
        <v>2681.84</v>
      </c>
      <c r="J68" s="3"/>
      <c r="K68" s="2" t="s">
        <v>17</v>
      </c>
      <c r="L68" s="2" t="s">
        <v>42</v>
      </c>
      <c r="M68" s="1">
        <v>-259.93</v>
      </c>
    </row>
    <row r="69" spans="1:13" hidden="1" x14ac:dyDescent="0.35">
      <c r="A69" s="1">
        <v>3534</v>
      </c>
      <c r="B69" s="2" t="s">
        <v>13</v>
      </c>
      <c r="C69" s="2" t="s">
        <v>40</v>
      </c>
      <c r="D69" s="2" t="s">
        <v>48</v>
      </c>
      <c r="E69" s="2" t="s">
        <v>39</v>
      </c>
      <c r="F69" s="1">
        <v>3</v>
      </c>
      <c r="G69" s="1">
        <v>3280.57</v>
      </c>
      <c r="H69" s="1">
        <v>0.62</v>
      </c>
      <c r="I69" s="1">
        <v>3739.85</v>
      </c>
      <c r="J69" s="3">
        <v>45605</v>
      </c>
      <c r="K69" s="2" t="s">
        <v>22</v>
      </c>
      <c r="L69" s="2" t="s">
        <v>42</v>
      </c>
      <c r="M69" s="1">
        <v>427.76</v>
      </c>
    </row>
    <row r="70" spans="1:13" hidden="1" x14ac:dyDescent="0.35">
      <c r="A70" s="1">
        <v>3573</v>
      </c>
      <c r="B70" s="2" t="s">
        <v>34</v>
      </c>
      <c r="C70" s="2" t="s">
        <v>40</v>
      </c>
      <c r="D70" s="2" t="s">
        <v>41</v>
      </c>
      <c r="E70" s="2" t="s">
        <v>39</v>
      </c>
      <c r="F70" s="1">
        <v>1</v>
      </c>
      <c r="G70" s="1">
        <v>6830.98</v>
      </c>
      <c r="H70" s="1">
        <v>0.39</v>
      </c>
      <c r="I70" s="1">
        <v>4166.8999999999996</v>
      </c>
      <c r="J70" s="3">
        <v>45734</v>
      </c>
      <c r="K70" s="2" t="s">
        <v>22</v>
      </c>
      <c r="L70" s="2" t="s">
        <v>24</v>
      </c>
      <c r="M70" s="1">
        <v>-175.76</v>
      </c>
    </row>
    <row r="71" spans="1:13" hidden="1" x14ac:dyDescent="0.35">
      <c r="A71" s="1">
        <v>3662</v>
      </c>
      <c r="B71" s="2" t="s">
        <v>13</v>
      </c>
      <c r="C71" s="2" t="s">
        <v>25</v>
      </c>
      <c r="D71" s="2" t="s">
        <v>38</v>
      </c>
      <c r="E71" s="2" t="s">
        <v>39</v>
      </c>
      <c r="F71" s="1">
        <v>4</v>
      </c>
      <c r="G71" s="1">
        <v>9032.9</v>
      </c>
      <c r="H71" s="1">
        <v>0.64</v>
      </c>
      <c r="I71" s="1">
        <v>13007.38</v>
      </c>
      <c r="J71" s="3"/>
      <c r="K71" s="2" t="s">
        <v>17</v>
      </c>
      <c r="L71" s="2" t="s">
        <v>18</v>
      </c>
      <c r="M71" s="1">
        <v>131.76</v>
      </c>
    </row>
    <row r="72" spans="1:13" hidden="1" x14ac:dyDescent="0.35">
      <c r="A72" s="1">
        <v>3667</v>
      </c>
      <c r="B72" s="2" t="s">
        <v>13</v>
      </c>
      <c r="C72" s="2" t="s">
        <v>29</v>
      </c>
      <c r="D72" s="2" t="s">
        <v>44</v>
      </c>
      <c r="E72" s="2" t="s">
        <v>16</v>
      </c>
      <c r="F72" s="1">
        <v>4</v>
      </c>
      <c r="G72" s="1">
        <v>9386.2000000000007</v>
      </c>
      <c r="H72" s="1">
        <v>0.01</v>
      </c>
      <c r="I72" s="1">
        <v>37169.35</v>
      </c>
      <c r="J72" s="3"/>
      <c r="K72" s="2" t="s">
        <v>17</v>
      </c>
      <c r="L72" s="2" t="s">
        <v>28</v>
      </c>
      <c r="M72" s="1">
        <v>-1121.02</v>
      </c>
    </row>
    <row r="73" spans="1:13" hidden="1" x14ac:dyDescent="0.35">
      <c r="A73" s="1">
        <v>3672</v>
      </c>
      <c r="B73" s="2" t="s">
        <v>19</v>
      </c>
      <c r="C73" s="2" t="s">
        <v>20</v>
      </c>
      <c r="D73" s="2" t="s">
        <v>21</v>
      </c>
      <c r="E73" s="2" t="s">
        <v>54</v>
      </c>
      <c r="F73" s="1">
        <v>3</v>
      </c>
      <c r="G73" s="1">
        <v>7127.18</v>
      </c>
      <c r="H73" s="1">
        <v>0.32</v>
      </c>
      <c r="I73" s="1">
        <v>14539.45</v>
      </c>
      <c r="J73" s="3">
        <v>45520</v>
      </c>
      <c r="K73" s="2" t="s">
        <v>17</v>
      </c>
      <c r="L73" s="2" t="s">
        <v>32</v>
      </c>
      <c r="M73" s="1">
        <v>2651.63</v>
      </c>
    </row>
    <row r="74" spans="1:13" x14ac:dyDescent="0.35">
      <c r="A74" s="1">
        <v>3680</v>
      </c>
      <c r="B74" s="2" t="s">
        <v>34</v>
      </c>
      <c r="C74" s="2" t="s">
        <v>14</v>
      </c>
      <c r="D74" s="2" t="s">
        <v>33</v>
      </c>
      <c r="E74" s="2" t="s">
        <v>31</v>
      </c>
      <c r="F74" s="1">
        <v>3</v>
      </c>
      <c r="G74" s="1">
        <v>8835.41</v>
      </c>
      <c r="H74" s="1">
        <v>0.92</v>
      </c>
      <c r="I74" s="1">
        <v>2120.5</v>
      </c>
      <c r="J74" s="3">
        <v>45684</v>
      </c>
      <c r="K74" s="2" t="s">
        <v>22</v>
      </c>
      <c r="L74" s="2" t="s">
        <v>32</v>
      </c>
      <c r="M74" s="1">
        <v>-746.28</v>
      </c>
    </row>
    <row r="75" spans="1:13" hidden="1" x14ac:dyDescent="0.35">
      <c r="A75" s="1">
        <v>3719</v>
      </c>
      <c r="B75" s="2" t="s">
        <v>34</v>
      </c>
      <c r="C75" s="2" t="s">
        <v>29</v>
      </c>
      <c r="D75" s="2" t="s">
        <v>46</v>
      </c>
      <c r="E75" s="2" t="s">
        <v>39</v>
      </c>
      <c r="F75" s="1">
        <v>2</v>
      </c>
      <c r="G75" s="1">
        <v>5943.38</v>
      </c>
      <c r="H75" s="1">
        <v>0.23</v>
      </c>
      <c r="I75" s="1">
        <v>9152.81</v>
      </c>
      <c r="J75" s="3">
        <v>45829</v>
      </c>
      <c r="K75" s="2" t="s">
        <v>17</v>
      </c>
      <c r="L75" s="2" t="s">
        <v>18</v>
      </c>
      <c r="M75" s="1">
        <v>3260.51</v>
      </c>
    </row>
    <row r="76" spans="1:13" hidden="1" x14ac:dyDescent="0.35">
      <c r="A76" s="1">
        <v>3722</v>
      </c>
      <c r="B76" s="2" t="s">
        <v>13</v>
      </c>
      <c r="C76" s="2" t="s">
        <v>14</v>
      </c>
      <c r="D76" s="2" t="s">
        <v>50</v>
      </c>
      <c r="E76" s="2" t="s">
        <v>54</v>
      </c>
      <c r="F76" s="1">
        <v>1</v>
      </c>
      <c r="G76" s="1">
        <v>9335</v>
      </c>
      <c r="H76" s="1">
        <v>0.22</v>
      </c>
      <c r="I76" s="1">
        <v>7281.3</v>
      </c>
      <c r="J76" s="3">
        <v>45251</v>
      </c>
      <c r="K76" s="2" t="s">
        <v>22</v>
      </c>
      <c r="L76" s="2" t="s">
        <v>24</v>
      </c>
      <c r="M76" s="1">
        <v>1787.45</v>
      </c>
    </row>
    <row r="77" spans="1:13" hidden="1" x14ac:dyDescent="0.35">
      <c r="A77" s="1">
        <v>3738</v>
      </c>
      <c r="B77" s="2" t="s">
        <v>34</v>
      </c>
      <c r="C77" s="2" t="s">
        <v>20</v>
      </c>
      <c r="D77" s="2" t="s">
        <v>23</v>
      </c>
      <c r="E77" s="2" t="s">
        <v>35</v>
      </c>
      <c r="F77" s="1">
        <v>1</v>
      </c>
      <c r="G77" s="1">
        <v>6968.08</v>
      </c>
      <c r="H77" s="1">
        <v>0.02</v>
      </c>
      <c r="I77" s="1">
        <v>6828.72</v>
      </c>
      <c r="J77" s="3">
        <v>45746</v>
      </c>
      <c r="K77" s="2" t="s">
        <v>17</v>
      </c>
      <c r="L77" s="2" t="s">
        <v>32</v>
      </c>
      <c r="M77" s="1">
        <v>-673.94</v>
      </c>
    </row>
    <row r="78" spans="1:13" hidden="1" x14ac:dyDescent="0.35">
      <c r="A78" s="1">
        <v>3741</v>
      </c>
      <c r="B78" s="2" t="s">
        <v>13</v>
      </c>
      <c r="C78" s="2" t="s">
        <v>25</v>
      </c>
      <c r="D78" s="2" t="s">
        <v>57</v>
      </c>
      <c r="E78" s="2" t="s">
        <v>27</v>
      </c>
      <c r="F78" s="1">
        <v>2</v>
      </c>
      <c r="G78" s="1">
        <v>8927.2199999999993</v>
      </c>
      <c r="H78" s="1">
        <v>0.2</v>
      </c>
      <c r="I78" s="1">
        <v>14283.55</v>
      </c>
      <c r="J78" s="3">
        <v>45851</v>
      </c>
      <c r="K78" s="2" t="s">
        <v>22</v>
      </c>
      <c r="L78" s="2" t="s">
        <v>42</v>
      </c>
      <c r="M78" s="1">
        <v>821.32</v>
      </c>
    </row>
    <row r="79" spans="1:13" hidden="1" x14ac:dyDescent="0.35">
      <c r="A79" s="1">
        <v>3755</v>
      </c>
      <c r="B79" s="2" t="s">
        <v>19</v>
      </c>
      <c r="C79" s="2" t="s">
        <v>20</v>
      </c>
      <c r="D79" s="2" t="s">
        <v>51</v>
      </c>
      <c r="E79" s="2" t="s">
        <v>59</v>
      </c>
      <c r="F79" s="1">
        <v>4</v>
      </c>
      <c r="G79" s="1">
        <v>2342.16</v>
      </c>
      <c r="H79" s="1">
        <v>0.25</v>
      </c>
      <c r="I79" s="1">
        <v>7026.48</v>
      </c>
      <c r="J79" s="3">
        <v>45767</v>
      </c>
      <c r="K79" s="2" t="s">
        <v>22</v>
      </c>
      <c r="L79" s="2" t="s">
        <v>24</v>
      </c>
      <c r="M79" s="1">
        <v>1007</v>
      </c>
    </row>
    <row r="80" spans="1:13" hidden="1" x14ac:dyDescent="0.35">
      <c r="A80" s="1">
        <v>3761</v>
      </c>
      <c r="B80" s="2" t="s">
        <v>19</v>
      </c>
      <c r="C80" s="2" t="s">
        <v>40</v>
      </c>
      <c r="D80" s="2" t="s">
        <v>48</v>
      </c>
      <c r="E80" s="2" t="s">
        <v>27</v>
      </c>
      <c r="F80" s="1">
        <v>4</v>
      </c>
      <c r="G80" s="1">
        <v>2972.38</v>
      </c>
      <c r="H80" s="1">
        <v>0.14000000000000001</v>
      </c>
      <c r="I80" s="1">
        <v>10224.99</v>
      </c>
      <c r="J80" s="3">
        <v>45614</v>
      </c>
      <c r="K80" s="2" t="s">
        <v>17</v>
      </c>
      <c r="L80" s="2" t="s">
        <v>36</v>
      </c>
      <c r="M80" s="1">
        <v>2569.7399999999998</v>
      </c>
    </row>
    <row r="81" spans="1:13" hidden="1" x14ac:dyDescent="0.35">
      <c r="A81" s="1">
        <v>3785</v>
      </c>
      <c r="B81" s="2" t="s">
        <v>13</v>
      </c>
      <c r="C81" s="2" t="s">
        <v>25</v>
      </c>
      <c r="D81" s="2" t="s">
        <v>26</v>
      </c>
      <c r="E81" s="2" t="s">
        <v>31</v>
      </c>
      <c r="F81" s="1">
        <v>3</v>
      </c>
      <c r="G81" s="1">
        <v>6464</v>
      </c>
      <c r="H81" s="1">
        <v>0.45</v>
      </c>
      <c r="I81" s="1">
        <v>10665.6</v>
      </c>
      <c r="J81" s="3"/>
      <c r="K81" s="2" t="s">
        <v>22</v>
      </c>
      <c r="L81" s="2" t="s">
        <v>32</v>
      </c>
      <c r="M81" s="1">
        <v>698.11</v>
      </c>
    </row>
    <row r="82" spans="1:13" hidden="1" x14ac:dyDescent="0.35">
      <c r="A82" s="1">
        <v>3796</v>
      </c>
      <c r="B82" s="2" t="s">
        <v>19</v>
      </c>
      <c r="C82" s="2" t="s">
        <v>40</v>
      </c>
      <c r="D82" s="2" t="s">
        <v>48</v>
      </c>
      <c r="E82" s="2" t="s">
        <v>39</v>
      </c>
      <c r="F82" s="1">
        <v>4</v>
      </c>
      <c r="G82" s="1">
        <v>6165.64</v>
      </c>
      <c r="H82" s="1">
        <v>0.16</v>
      </c>
      <c r="I82" s="1">
        <v>20716.55</v>
      </c>
      <c r="J82" s="3">
        <v>45648</v>
      </c>
      <c r="K82" s="2" t="s">
        <v>17</v>
      </c>
      <c r="L82" s="2" t="s">
        <v>32</v>
      </c>
      <c r="M82" s="1">
        <v>2081.4299999999998</v>
      </c>
    </row>
    <row r="83" spans="1:13" hidden="1" x14ac:dyDescent="0.35">
      <c r="A83" s="1">
        <v>3874</v>
      </c>
      <c r="B83" s="2" t="s">
        <v>19</v>
      </c>
      <c r="C83" s="2" t="s">
        <v>40</v>
      </c>
      <c r="D83" s="2" t="s">
        <v>58</v>
      </c>
      <c r="E83" s="2" t="s">
        <v>31</v>
      </c>
      <c r="F83" s="1">
        <v>4</v>
      </c>
      <c r="G83" s="1">
        <v>3305.6</v>
      </c>
      <c r="H83" s="1">
        <v>0.7</v>
      </c>
      <c r="I83" s="1">
        <v>3966.72</v>
      </c>
      <c r="J83" s="3">
        <v>45531</v>
      </c>
      <c r="K83" s="2" t="s">
        <v>17</v>
      </c>
      <c r="L83" s="2" t="s">
        <v>42</v>
      </c>
      <c r="M83" s="1">
        <v>1605.13</v>
      </c>
    </row>
    <row r="84" spans="1:13" hidden="1" x14ac:dyDescent="0.35">
      <c r="A84" s="1">
        <v>3881</v>
      </c>
      <c r="B84" s="2" t="s">
        <v>19</v>
      </c>
      <c r="C84" s="2" t="s">
        <v>14</v>
      </c>
      <c r="D84" s="2" t="s">
        <v>15</v>
      </c>
      <c r="E84" s="2" t="s">
        <v>39</v>
      </c>
      <c r="F84" s="1">
        <v>3</v>
      </c>
      <c r="G84" s="1">
        <v>3656.98</v>
      </c>
      <c r="H84" s="1">
        <v>0.06</v>
      </c>
      <c r="I84" s="1">
        <v>10312.68</v>
      </c>
      <c r="J84" s="3"/>
      <c r="K84" s="2" t="s">
        <v>17</v>
      </c>
      <c r="L84" s="2" t="s">
        <v>36</v>
      </c>
      <c r="M84" s="1">
        <v>1953.91</v>
      </c>
    </row>
    <row r="85" spans="1:13" hidden="1" x14ac:dyDescent="0.35">
      <c r="A85" s="1">
        <v>3894</v>
      </c>
      <c r="B85" s="2" t="s">
        <v>19</v>
      </c>
      <c r="C85" s="2" t="s">
        <v>20</v>
      </c>
      <c r="D85" s="2" t="s">
        <v>23</v>
      </c>
      <c r="E85" s="2" t="s">
        <v>35</v>
      </c>
      <c r="F85" s="1">
        <v>-1</v>
      </c>
      <c r="G85" s="1">
        <v>5255.98</v>
      </c>
      <c r="H85" s="1">
        <v>1.03</v>
      </c>
      <c r="I85" s="1">
        <v>157.68</v>
      </c>
      <c r="J85" s="3">
        <v>45451</v>
      </c>
      <c r="K85" s="2" t="s">
        <v>17</v>
      </c>
      <c r="L85" s="2" t="s">
        <v>28</v>
      </c>
      <c r="M85" s="1">
        <v>-1067.96</v>
      </c>
    </row>
    <row r="86" spans="1:13" hidden="1" x14ac:dyDescent="0.35">
      <c r="A86" s="1">
        <v>3897</v>
      </c>
      <c r="B86" s="2" t="s">
        <v>19</v>
      </c>
      <c r="C86" s="2" t="s">
        <v>20</v>
      </c>
      <c r="D86" s="2" t="s">
        <v>21</v>
      </c>
      <c r="E86" s="2" t="s">
        <v>59</v>
      </c>
      <c r="F86" s="1">
        <v>2</v>
      </c>
      <c r="G86" s="1">
        <v>6050.27</v>
      </c>
      <c r="H86" s="1">
        <v>0.69</v>
      </c>
      <c r="I86" s="1">
        <v>3751.17</v>
      </c>
      <c r="J86" s="3"/>
      <c r="K86" s="2" t="s">
        <v>22</v>
      </c>
      <c r="L86" s="2" t="s">
        <v>32</v>
      </c>
      <c r="M86" s="1">
        <v>3332.49</v>
      </c>
    </row>
    <row r="87" spans="1:13" hidden="1" x14ac:dyDescent="0.35">
      <c r="A87" s="1">
        <v>3906</v>
      </c>
      <c r="B87" s="2" t="s">
        <v>34</v>
      </c>
      <c r="C87" s="2" t="s">
        <v>25</v>
      </c>
      <c r="D87" s="2" t="s">
        <v>55</v>
      </c>
      <c r="E87" s="2" t="s">
        <v>31</v>
      </c>
      <c r="F87" s="1">
        <v>4</v>
      </c>
      <c r="G87" s="1">
        <v>7588.77</v>
      </c>
      <c r="H87" s="1">
        <v>0.14000000000000001</v>
      </c>
      <c r="I87" s="1">
        <v>26105.37</v>
      </c>
      <c r="J87" s="3">
        <v>45539</v>
      </c>
      <c r="K87" s="2" t="s">
        <v>17</v>
      </c>
      <c r="L87" s="2" t="s">
        <v>36</v>
      </c>
      <c r="M87" s="1">
        <v>3435.73</v>
      </c>
    </row>
    <row r="88" spans="1:13" hidden="1" x14ac:dyDescent="0.35">
      <c r="A88" s="1">
        <v>3928</v>
      </c>
      <c r="B88" s="2" t="s">
        <v>34</v>
      </c>
      <c r="C88" s="2" t="s">
        <v>29</v>
      </c>
      <c r="D88" s="2" t="s">
        <v>53</v>
      </c>
      <c r="E88" s="2" t="s">
        <v>39</v>
      </c>
      <c r="F88" s="1">
        <v>2</v>
      </c>
      <c r="G88" s="1">
        <v>5636.21</v>
      </c>
      <c r="H88" s="1">
        <v>0.74</v>
      </c>
      <c r="I88" s="1">
        <v>2930.83</v>
      </c>
      <c r="J88" s="3"/>
      <c r="K88" s="2" t="s">
        <v>22</v>
      </c>
      <c r="L88" s="2" t="s">
        <v>32</v>
      </c>
      <c r="M88" s="1">
        <v>-984.86</v>
      </c>
    </row>
    <row r="89" spans="1:13" hidden="1" x14ac:dyDescent="0.35">
      <c r="A89" s="1">
        <v>3929</v>
      </c>
      <c r="B89" s="2" t="s">
        <v>13</v>
      </c>
      <c r="C89" s="2" t="s">
        <v>29</v>
      </c>
      <c r="D89" s="2" t="s">
        <v>46</v>
      </c>
      <c r="E89" s="2" t="s">
        <v>39</v>
      </c>
      <c r="F89" s="1">
        <v>1</v>
      </c>
      <c r="G89" s="1">
        <v>4199.97</v>
      </c>
      <c r="H89" s="1">
        <v>0.9</v>
      </c>
      <c r="I89" s="1">
        <v>420</v>
      </c>
      <c r="J89" s="3">
        <v>45791</v>
      </c>
      <c r="K89" s="2" t="s">
        <v>22</v>
      </c>
      <c r="L89" s="2" t="s">
        <v>24</v>
      </c>
      <c r="M89" s="1">
        <v>-861.44</v>
      </c>
    </row>
    <row r="90" spans="1:13" hidden="1" x14ac:dyDescent="0.35">
      <c r="A90" s="1">
        <v>3932</v>
      </c>
      <c r="B90" s="2" t="s">
        <v>13</v>
      </c>
      <c r="C90" s="2" t="s">
        <v>14</v>
      </c>
      <c r="D90" s="2" t="s">
        <v>15</v>
      </c>
      <c r="E90" s="2" t="s">
        <v>27</v>
      </c>
      <c r="F90" s="1">
        <v>4</v>
      </c>
      <c r="G90" s="1">
        <v>4520.97</v>
      </c>
      <c r="H90" s="1">
        <v>0.54</v>
      </c>
      <c r="I90" s="1">
        <v>8318.58</v>
      </c>
      <c r="J90" s="3">
        <v>45818</v>
      </c>
      <c r="K90" s="2" t="s">
        <v>22</v>
      </c>
      <c r="L90" s="2" t="s">
        <v>18</v>
      </c>
      <c r="M90" s="1">
        <v>1289.3599999999999</v>
      </c>
    </row>
    <row r="91" spans="1:13" hidden="1" x14ac:dyDescent="0.35">
      <c r="A91" s="1">
        <v>3988</v>
      </c>
      <c r="B91" s="2" t="s">
        <v>13</v>
      </c>
      <c r="C91" s="2" t="s">
        <v>25</v>
      </c>
      <c r="D91" s="2" t="s">
        <v>26</v>
      </c>
      <c r="E91" s="2" t="s">
        <v>16</v>
      </c>
      <c r="F91" s="1">
        <v>4</v>
      </c>
      <c r="G91" s="1">
        <v>7945.46</v>
      </c>
      <c r="H91" s="1">
        <v>0.67</v>
      </c>
      <c r="I91" s="1">
        <v>10488.01</v>
      </c>
      <c r="J91" s="3">
        <v>45575</v>
      </c>
      <c r="K91" s="2" t="s">
        <v>17</v>
      </c>
      <c r="L91" s="2" t="s">
        <v>28</v>
      </c>
      <c r="M91" s="1">
        <v>3698.62</v>
      </c>
    </row>
    <row r="92" spans="1:13" hidden="1" x14ac:dyDescent="0.35">
      <c r="A92" s="1">
        <v>4008</v>
      </c>
      <c r="B92" s="2" t="s">
        <v>34</v>
      </c>
      <c r="C92" s="2" t="s">
        <v>40</v>
      </c>
      <c r="D92" s="2" t="s">
        <v>58</v>
      </c>
      <c r="E92" s="2" t="s">
        <v>43</v>
      </c>
      <c r="F92" s="1">
        <v>3</v>
      </c>
      <c r="G92" s="1">
        <v>7737.27</v>
      </c>
      <c r="H92" s="1">
        <v>7.0000000000000007E-2</v>
      </c>
      <c r="I92" s="1">
        <v>21586.98</v>
      </c>
      <c r="J92" s="3">
        <v>45275</v>
      </c>
      <c r="K92" s="2" t="s">
        <v>22</v>
      </c>
      <c r="L92" s="2" t="s">
        <v>36</v>
      </c>
      <c r="M92" s="1">
        <v>180.31</v>
      </c>
    </row>
    <row r="93" spans="1:13" hidden="1" x14ac:dyDescent="0.35">
      <c r="A93" s="1">
        <v>4031</v>
      </c>
      <c r="B93" s="2" t="s">
        <v>34</v>
      </c>
      <c r="C93" s="2" t="s">
        <v>20</v>
      </c>
      <c r="D93" s="2" t="s">
        <v>51</v>
      </c>
      <c r="E93" s="2" t="s">
        <v>39</v>
      </c>
      <c r="F93" s="1">
        <v>2</v>
      </c>
      <c r="G93" s="1">
        <v>4272.26</v>
      </c>
      <c r="H93" s="1">
        <v>0.83</v>
      </c>
      <c r="I93" s="1">
        <v>1452.57</v>
      </c>
      <c r="J93" s="3"/>
      <c r="K93" s="2" t="s">
        <v>22</v>
      </c>
      <c r="L93" s="2" t="s">
        <v>42</v>
      </c>
      <c r="M93" s="1">
        <v>1977.91</v>
      </c>
    </row>
    <row r="94" spans="1:13" hidden="1" x14ac:dyDescent="0.35">
      <c r="A94" s="1">
        <v>4033</v>
      </c>
      <c r="B94" s="2" t="s">
        <v>34</v>
      </c>
      <c r="C94" s="2" t="s">
        <v>25</v>
      </c>
      <c r="D94" s="2" t="s">
        <v>26</v>
      </c>
      <c r="E94" s="2" t="s">
        <v>27</v>
      </c>
      <c r="F94" s="1">
        <v>4</v>
      </c>
      <c r="G94" s="1">
        <v>4398.68</v>
      </c>
      <c r="H94" s="1">
        <v>0.27</v>
      </c>
      <c r="I94" s="1">
        <v>12844.15</v>
      </c>
      <c r="J94" s="3"/>
      <c r="K94" s="2" t="s">
        <v>22</v>
      </c>
      <c r="L94" s="2" t="s">
        <v>18</v>
      </c>
      <c r="M94" s="1">
        <v>3573.92</v>
      </c>
    </row>
    <row r="95" spans="1:13" hidden="1" x14ac:dyDescent="0.35">
      <c r="A95" s="1">
        <v>4043</v>
      </c>
      <c r="B95" s="2" t="s">
        <v>13</v>
      </c>
      <c r="C95" s="2" t="s">
        <v>29</v>
      </c>
      <c r="D95" s="2" t="s">
        <v>44</v>
      </c>
      <c r="E95" s="2" t="s">
        <v>39</v>
      </c>
      <c r="F95" s="1">
        <v>4</v>
      </c>
      <c r="G95" s="1">
        <v>5235.22</v>
      </c>
      <c r="H95" s="1">
        <v>0.51</v>
      </c>
      <c r="I95" s="1">
        <v>10261.030000000001</v>
      </c>
      <c r="J95" s="3">
        <v>45805</v>
      </c>
      <c r="K95" s="2" t="s">
        <v>17</v>
      </c>
      <c r="L95" s="2" t="s">
        <v>36</v>
      </c>
      <c r="M95" s="1">
        <v>3321.49</v>
      </c>
    </row>
    <row r="96" spans="1:13" hidden="1" x14ac:dyDescent="0.35">
      <c r="A96" s="1">
        <v>4066</v>
      </c>
      <c r="B96" s="2" t="s">
        <v>13</v>
      </c>
      <c r="C96" s="2" t="s">
        <v>29</v>
      </c>
      <c r="D96" s="2" t="s">
        <v>30</v>
      </c>
      <c r="E96" s="2" t="s">
        <v>27</v>
      </c>
      <c r="F96" s="1">
        <v>4</v>
      </c>
      <c r="G96" s="1">
        <v>6599.26</v>
      </c>
      <c r="H96" s="1">
        <v>0.85</v>
      </c>
      <c r="I96" s="1">
        <v>3959.56</v>
      </c>
      <c r="J96" s="3">
        <v>45837</v>
      </c>
      <c r="K96" s="2" t="s">
        <v>22</v>
      </c>
      <c r="L96" s="2" t="s">
        <v>18</v>
      </c>
      <c r="M96" s="1">
        <v>3344.47</v>
      </c>
    </row>
    <row r="97" spans="1:13" x14ac:dyDescent="0.35">
      <c r="A97" s="1">
        <v>4088</v>
      </c>
      <c r="B97" s="2" t="s">
        <v>34</v>
      </c>
      <c r="C97" s="2" t="s">
        <v>14</v>
      </c>
      <c r="D97" s="2" t="s">
        <v>33</v>
      </c>
      <c r="E97" s="2" t="s">
        <v>16</v>
      </c>
      <c r="F97" s="1">
        <v>2</v>
      </c>
      <c r="G97" s="1">
        <v>5649.73</v>
      </c>
      <c r="H97" s="1">
        <v>0.41</v>
      </c>
      <c r="I97" s="1">
        <v>6666.68</v>
      </c>
      <c r="J97" s="3">
        <v>45732</v>
      </c>
      <c r="K97" s="2" t="s">
        <v>22</v>
      </c>
      <c r="L97" s="2" t="s">
        <v>24</v>
      </c>
      <c r="M97" s="1">
        <v>1548.1</v>
      </c>
    </row>
    <row r="98" spans="1:13" hidden="1" x14ac:dyDescent="0.35">
      <c r="A98" s="1">
        <v>4108</v>
      </c>
      <c r="B98" s="2" t="s">
        <v>13</v>
      </c>
      <c r="C98" s="2" t="s">
        <v>29</v>
      </c>
      <c r="D98" s="2" t="s">
        <v>53</v>
      </c>
      <c r="E98" s="2" t="s">
        <v>27</v>
      </c>
      <c r="F98" s="1">
        <v>2</v>
      </c>
      <c r="G98" s="1">
        <v>2767.55</v>
      </c>
      <c r="H98" s="1">
        <v>0.19</v>
      </c>
      <c r="I98" s="1">
        <v>4483.43</v>
      </c>
      <c r="J98" s="3">
        <v>45255</v>
      </c>
      <c r="K98" s="2" t="s">
        <v>17</v>
      </c>
      <c r="L98" s="2" t="s">
        <v>42</v>
      </c>
      <c r="M98" s="1">
        <v>1059.07</v>
      </c>
    </row>
    <row r="99" spans="1:13" hidden="1" x14ac:dyDescent="0.35">
      <c r="A99" s="1">
        <v>4220</v>
      </c>
      <c r="B99" s="2" t="s">
        <v>13</v>
      </c>
      <c r="C99" s="2" t="s">
        <v>25</v>
      </c>
      <c r="D99" s="2" t="s">
        <v>55</v>
      </c>
      <c r="E99" s="2" t="s">
        <v>16</v>
      </c>
      <c r="F99" s="1">
        <v>2</v>
      </c>
      <c r="G99" s="1">
        <v>2290.64</v>
      </c>
      <c r="H99" s="1">
        <v>0.84</v>
      </c>
      <c r="I99" s="1">
        <v>733</v>
      </c>
      <c r="J99" s="3">
        <v>45688</v>
      </c>
      <c r="K99" s="2" t="s">
        <v>22</v>
      </c>
      <c r="L99" s="2" t="s">
        <v>32</v>
      </c>
      <c r="M99" s="1">
        <v>608.16</v>
      </c>
    </row>
    <row r="100" spans="1:13" x14ac:dyDescent="0.35">
      <c r="A100" s="1">
        <v>4249</v>
      </c>
      <c r="B100" s="2" t="s">
        <v>13</v>
      </c>
      <c r="C100" s="2" t="s">
        <v>14</v>
      </c>
      <c r="D100" s="2" t="s">
        <v>33</v>
      </c>
      <c r="E100" s="2" t="s">
        <v>27</v>
      </c>
      <c r="F100" s="1">
        <v>1</v>
      </c>
      <c r="G100" s="1">
        <v>2902.95</v>
      </c>
      <c r="H100" s="1">
        <v>0.6</v>
      </c>
      <c r="I100" s="1">
        <v>1161.18</v>
      </c>
      <c r="J100" s="3">
        <v>45576</v>
      </c>
      <c r="K100" s="2" t="s">
        <v>22</v>
      </c>
      <c r="L100" s="2" t="s">
        <v>18</v>
      </c>
      <c r="M100" s="1">
        <v>-855.08</v>
      </c>
    </row>
    <row r="101" spans="1:13" hidden="1" x14ac:dyDescent="0.35">
      <c r="A101" s="1">
        <v>4283</v>
      </c>
      <c r="B101" s="2" t="s">
        <v>34</v>
      </c>
      <c r="C101" s="2" t="s">
        <v>14</v>
      </c>
      <c r="D101" s="2" t="s">
        <v>50</v>
      </c>
      <c r="E101" s="2" t="s">
        <v>16</v>
      </c>
      <c r="F101" s="1">
        <v>1</v>
      </c>
      <c r="G101" s="1">
        <v>9649.36</v>
      </c>
      <c r="H101" s="1">
        <v>0.95</v>
      </c>
      <c r="I101" s="1">
        <v>482.47</v>
      </c>
      <c r="J101" s="3">
        <v>45714</v>
      </c>
      <c r="K101" s="2" t="s">
        <v>22</v>
      </c>
      <c r="L101" s="2" t="s">
        <v>18</v>
      </c>
      <c r="M101" s="1">
        <v>1158.69</v>
      </c>
    </row>
    <row r="102" spans="1:13" hidden="1" x14ac:dyDescent="0.35">
      <c r="A102" s="1">
        <v>4331</v>
      </c>
      <c r="B102" s="2" t="s">
        <v>19</v>
      </c>
      <c r="C102" s="2" t="s">
        <v>14</v>
      </c>
      <c r="D102" s="2" t="s">
        <v>15</v>
      </c>
      <c r="E102" s="2" t="s">
        <v>39</v>
      </c>
      <c r="F102" s="1">
        <v>2</v>
      </c>
      <c r="G102" s="1">
        <v>4574.53</v>
      </c>
      <c r="H102" s="1">
        <v>0.04</v>
      </c>
      <c r="I102" s="1">
        <v>8783.1</v>
      </c>
      <c r="J102" s="3">
        <v>45660</v>
      </c>
      <c r="K102" s="2" t="s">
        <v>22</v>
      </c>
      <c r="L102" s="2" t="s">
        <v>42</v>
      </c>
      <c r="M102" s="1">
        <v>3534.47</v>
      </c>
    </row>
    <row r="103" spans="1:13" hidden="1" x14ac:dyDescent="0.35">
      <c r="A103" s="1">
        <v>4370</v>
      </c>
      <c r="B103" s="2" t="s">
        <v>19</v>
      </c>
      <c r="C103" s="2" t="s">
        <v>29</v>
      </c>
      <c r="D103" s="2" t="s">
        <v>53</v>
      </c>
      <c r="E103" s="2" t="s">
        <v>27</v>
      </c>
      <c r="F103" s="1">
        <v>2</v>
      </c>
      <c r="G103" s="1">
        <v>5046.05</v>
      </c>
      <c r="H103" s="1">
        <v>0.38</v>
      </c>
      <c r="I103" s="1">
        <v>6257.1</v>
      </c>
      <c r="J103" s="3">
        <v>45578</v>
      </c>
      <c r="K103" s="2" t="s">
        <v>22</v>
      </c>
      <c r="L103" s="2" t="s">
        <v>24</v>
      </c>
      <c r="M103" s="1">
        <v>2530.73</v>
      </c>
    </row>
    <row r="104" spans="1:13" hidden="1" x14ac:dyDescent="0.35">
      <c r="A104" s="1">
        <v>4386</v>
      </c>
      <c r="B104" s="2" t="s">
        <v>13</v>
      </c>
      <c r="C104" s="2" t="s">
        <v>40</v>
      </c>
      <c r="D104" s="2" t="s">
        <v>48</v>
      </c>
      <c r="E104" s="2" t="s">
        <v>39</v>
      </c>
      <c r="F104" s="1">
        <v>2</v>
      </c>
      <c r="G104" s="1">
        <v>3432.35</v>
      </c>
      <c r="H104" s="1">
        <v>0.34</v>
      </c>
      <c r="I104" s="1">
        <v>4530.7</v>
      </c>
      <c r="J104" s="3">
        <v>45822</v>
      </c>
      <c r="K104" s="2" t="s">
        <v>17</v>
      </c>
      <c r="L104" s="2" t="s">
        <v>18</v>
      </c>
      <c r="M104" s="1">
        <v>2576.11</v>
      </c>
    </row>
    <row r="105" spans="1:13" hidden="1" x14ac:dyDescent="0.35">
      <c r="A105" s="1">
        <v>4400</v>
      </c>
      <c r="B105" s="2" t="s">
        <v>19</v>
      </c>
      <c r="C105" s="2" t="s">
        <v>25</v>
      </c>
      <c r="D105" s="2" t="s">
        <v>57</v>
      </c>
      <c r="E105" s="2" t="s">
        <v>16</v>
      </c>
      <c r="F105" s="1">
        <v>4</v>
      </c>
      <c r="G105" s="1">
        <v>7798.57</v>
      </c>
      <c r="H105" s="1">
        <v>0.28000000000000003</v>
      </c>
      <c r="I105" s="1">
        <v>22459.88</v>
      </c>
      <c r="J105" s="3">
        <v>45804</v>
      </c>
      <c r="K105" s="2" t="s">
        <v>22</v>
      </c>
      <c r="L105" s="2" t="s">
        <v>42</v>
      </c>
      <c r="M105" s="1">
        <v>1334.4</v>
      </c>
    </row>
    <row r="106" spans="1:13" hidden="1" x14ac:dyDescent="0.35">
      <c r="A106" s="1">
        <v>4410</v>
      </c>
      <c r="B106" s="2" t="s">
        <v>34</v>
      </c>
      <c r="C106" s="2" t="s">
        <v>40</v>
      </c>
      <c r="D106" s="2" t="s">
        <v>47</v>
      </c>
      <c r="E106" s="2" t="s">
        <v>31</v>
      </c>
      <c r="F106" s="1">
        <v>-1</v>
      </c>
      <c r="G106" s="1">
        <v>5967.57</v>
      </c>
      <c r="H106" s="1">
        <v>1.1000000000000001</v>
      </c>
      <c r="I106" s="1">
        <v>596.76</v>
      </c>
      <c r="J106" s="3">
        <v>45317</v>
      </c>
      <c r="K106" s="2" t="s">
        <v>22</v>
      </c>
      <c r="L106" s="2" t="s">
        <v>24</v>
      </c>
      <c r="M106" s="1">
        <v>-1011.68</v>
      </c>
    </row>
    <row r="107" spans="1:13" hidden="1" x14ac:dyDescent="0.35">
      <c r="A107" s="1">
        <v>4418</v>
      </c>
      <c r="B107" s="2" t="s">
        <v>19</v>
      </c>
      <c r="C107" s="2" t="s">
        <v>14</v>
      </c>
      <c r="D107" s="2" t="s">
        <v>52</v>
      </c>
      <c r="E107" s="2" t="s">
        <v>31</v>
      </c>
      <c r="F107" s="1">
        <v>2</v>
      </c>
      <c r="G107" s="1">
        <v>3139.93</v>
      </c>
      <c r="H107" s="1">
        <v>0.46</v>
      </c>
      <c r="I107" s="1">
        <v>3391.12</v>
      </c>
      <c r="J107" s="3"/>
      <c r="K107" s="2" t="s">
        <v>17</v>
      </c>
      <c r="L107" s="2" t="s">
        <v>42</v>
      </c>
      <c r="M107" s="1">
        <v>3548.13</v>
      </c>
    </row>
    <row r="108" spans="1:13" hidden="1" x14ac:dyDescent="0.35">
      <c r="A108" s="1">
        <v>4445</v>
      </c>
      <c r="B108" s="2" t="s">
        <v>19</v>
      </c>
      <c r="C108" s="2" t="s">
        <v>14</v>
      </c>
      <c r="D108" s="2" t="s">
        <v>52</v>
      </c>
      <c r="E108" s="2" t="s">
        <v>31</v>
      </c>
      <c r="F108" s="1">
        <v>1</v>
      </c>
      <c r="G108" s="1">
        <v>5915.27</v>
      </c>
      <c r="H108" s="1">
        <v>0.12</v>
      </c>
      <c r="I108" s="1">
        <v>5205.4399999999996</v>
      </c>
      <c r="J108" s="3">
        <v>45641</v>
      </c>
      <c r="K108" s="2" t="s">
        <v>22</v>
      </c>
      <c r="L108" s="2" t="s">
        <v>24</v>
      </c>
      <c r="M108" s="1">
        <v>3456.95</v>
      </c>
    </row>
    <row r="109" spans="1:13" hidden="1" x14ac:dyDescent="0.35">
      <c r="A109" s="1">
        <v>4446</v>
      </c>
      <c r="B109" s="2" t="s">
        <v>34</v>
      </c>
      <c r="C109" s="2" t="s">
        <v>20</v>
      </c>
      <c r="D109" s="2" t="s">
        <v>37</v>
      </c>
      <c r="E109" s="2" t="s">
        <v>16</v>
      </c>
      <c r="F109" s="1">
        <v>2</v>
      </c>
      <c r="G109" s="1">
        <v>3469.31</v>
      </c>
      <c r="H109" s="1">
        <v>0.28000000000000003</v>
      </c>
      <c r="I109" s="1">
        <v>4995.8100000000004</v>
      </c>
      <c r="J109" s="3">
        <v>45683</v>
      </c>
      <c r="K109" s="2" t="s">
        <v>22</v>
      </c>
      <c r="L109" s="2" t="s">
        <v>28</v>
      </c>
      <c r="M109" s="1">
        <v>2671.58</v>
      </c>
    </row>
    <row r="110" spans="1:13" hidden="1" x14ac:dyDescent="0.35">
      <c r="A110" s="1">
        <v>4463</v>
      </c>
      <c r="B110" s="2" t="s">
        <v>34</v>
      </c>
      <c r="C110" s="2" t="s">
        <v>20</v>
      </c>
      <c r="D110" s="2" t="s">
        <v>23</v>
      </c>
      <c r="E110" s="2" t="s">
        <v>35</v>
      </c>
      <c r="F110" s="1">
        <v>3</v>
      </c>
      <c r="G110" s="1">
        <v>8317.5300000000007</v>
      </c>
      <c r="H110" s="1">
        <v>0.6</v>
      </c>
      <c r="I110" s="1">
        <v>9981.0400000000009</v>
      </c>
      <c r="J110" s="3">
        <v>45815</v>
      </c>
      <c r="K110" s="2" t="s">
        <v>22</v>
      </c>
      <c r="L110" s="2" t="s">
        <v>28</v>
      </c>
      <c r="M110" s="1">
        <v>1821.65</v>
      </c>
    </row>
    <row r="111" spans="1:13" hidden="1" x14ac:dyDescent="0.35">
      <c r="A111" s="1">
        <v>4484</v>
      </c>
      <c r="B111" s="2" t="s">
        <v>34</v>
      </c>
      <c r="C111" s="2" t="s">
        <v>40</v>
      </c>
      <c r="D111" s="2" t="s">
        <v>41</v>
      </c>
      <c r="E111" s="2" t="s">
        <v>35</v>
      </c>
      <c r="F111" s="1">
        <v>3</v>
      </c>
      <c r="G111" s="1">
        <v>5981.92</v>
      </c>
      <c r="H111" s="1">
        <v>0.8</v>
      </c>
      <c r="I111" s="1">
        <v>3589.15</v>
      </c>
      <c r="J111" s="3">
        <v>45638</v>
      </c>
      <c r="K111" s="2" t="s">
        <v>22</v>
      </c>
      <c r="L111" s="2" t="s">
        <v>36</v>
      </c>
      <c r="M111" s="1">
        <v>-751.05</v>
      </c>
    </row>
    <row r="112" spans="1:13" x14ac:dyDescent="0.35">
      <c r="A112" s="8"/>
      <c r="B112" s="9"/>
      <c r="C112" s="9"/>
      <c r="D112" s="9"/>
      <c r="E112" s="9"/>
      <c r="F112" s="8"/>
      <c r="G112" s="8"/>
      <c r="H112" s="8"/>
      <c r="I112" s="11"/>
      <c r="J112" s="10"/>
      <c r="K112" s="9"/>
      <c r="L112" s="9"/>
      <c r="M112" s="8"/>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3B10E-84F2-430E-ACEB-C4849A115B3D}">
  <dimension ref="A9:M20"/>
  <sheetViews>
    <sheetView tabSelected="1" topLeftCell="A18" zoomScale="74" zoomScaleNormal="65" workbookViewId="0">
      <selection activeCell="G19" sqref="G19"/>
    </sheetView>
  </sheetViews>
  <sheetFormatPr defaultRowHeight="14.5" x14ac:dyDescent="0.35"/>
  <cols>
    <col min="1" max="1" width="15.26953125" bestFit="1" customWidth="1"/>
    <col min="2" max="2" width="16.1796875" bestFit="1" customWidth="1"/>
    <col min="3" max="3" width="10.36328125" bestFit="1" customWidth="1"/>
    <col min="4" max="4" width="8.90625" bestFit="1" customWidth="1"/>
    <col min="5" max="6" width="10.36328125" bestFit="1" customWidth="1"/>
    <col min="7" max="7" width="11.6328125" bestFit="1" customWidth="1"/>
    <col min="8" max="8" width="8.81640625" bestFit="1" customWidth="1"/>
    <col min="9" max="9" width="14.90625" bestFit="1" customWidth="1"/>
    <col min="10" max="10" width="14.36328125" bestFit="1" customWidth="1"/>
    <col min="11" max="11" width="8.453125" bestFit="1" customWidth="1"/>
    <col min="12" max="12" width="13.81640625" bestFit="1" customWidth="1"/>
    <col min="13" max="13" width="15.26953125" bestFit="1" customWidth="1"/>
    <col min="14" max="14" width="8" bestFit="1" customWidth="1"/>
    <col min="15" max="16" width="8.81640625" bestFit="1" customWidth="1"/>
    <col min="17" max="17" width="10.90625" bestFit="1" customWidth="1"/>
    <col min="18" max="18" width="9.36328125" bestFit="1" customWidth="1"/>
    <col min="19" max="20" width="8.81640625" bestFit="1" customWidth="1"/>
    <col min="21" max="21" width="12.26953125" bestFit="1" customWidth="1"/>
    <col min="22" max="22" width="10.7265625" bestFit="1" customWidth="1"/>
  </cols>
  <sheetData>
    <row r="9" spans="1:13" x14ac:dyDescent="0.35">
      <c r="A9" s="13" t="s">
        <v>60</v>
      </c>
      <c r="B9" s="13" t="s">
        <v>63</v>
      </c>
      <c r="C9" s="12"/>
      <c r="D9" s="12"/>
      <c r="E9" s="12"/>
      <c r="F9" s="12"/>
      <c r="G9" s="12"/>
      <c r="I9" s="4" t="s">
        <v>61</v>
      </c>
      <c r="J9" t="s">
        <v>60</v>
      </c>
    </row>
    <row r="10" spans="1:13" x14ac:dyDescent="0.35">
      <c r="A10" s="13" t="s">
        <v>61</v>
      </c>
      <c r="B10" s="12" t="s">
        <v>40</v>
      </c>
      <c r="C10" s="12" t="s">
        <v>25</v>
      </c>
      <c r="D10" s="12" t="s">
        <v>29</v>
      </c>
      <c r="E10" s="12" t="s">
        <v>20</v>
      </c>
      <c r="F10" s="12" t="s">
        <v>14</v>
      </c>
      <c r="G10" s="12" t="s">
        <v>62</v>
      </c>
      <c r="I10" s="5" t="s">
        <v>57</v>
      </c>
      <c r="J10" s="16">
        <v>42612.14</v>
      </c>
      <c r="L10" s="4" t="s">
        <v>61</v>
      </c>
      <c r="M10" t="s">
        <v>60</v>
      </c>
    </row>
    <row r="11" spans="1:13" x14ac:dyDescent="0.35">
      <c r="A11" s="14" t="s">
        <v>13</v>
      </c>
      <c r="B11" s="12">
        <v>14140.52</v>
      </c>
      <c r="C11" s="12">
        <v>71713.01999999999</v>
      </c>
      <c r="D11" s="12">
        <v>69973.5</v>
      </c>
      <c r="E11" s="12">
        <v>17214.560000000001</v>
      </c>
      <c r="F11" s="12">
        <v>54045.39</v>
      </c>
      <c r="G11" s="12">
        <v>227086.99</v>
      </c>
      <c r="I11" s="5" t="s">
        <v>41</v>
      </c>
      <c r="J11" s="16">
        <v>44854.03</v>
      </c>
      <c r="L11" s="5" t="s">
        <v>18</v>
      </c>
      <c r="M11" s="16">
        <v>127441.94999999998</v>
      </c>
    </row>
    <row r="12" spans="1:13" x14ac:dyDescent="0.35">
      <c r="A12" s="15" t="s">
        <v>17</v>
      </c>
      <c r="B12" s="12">
        <v>4530.7</v>
      </c>
      <c r="C12" s="12">
        <v>29789.199999999997</v>
      </c>
      <c r="D12" s="12">
        <v>52307.399999999994</v>
      </c>
      <c r="E12" s="12">
        <v>7953.88</v>
      </c>
      <c r="F12" s="12">
        <v>21261.97</v>
      </c>
      <c r="G12" s="12">
        <v>115843.15</v>
      </c>
      <c r="I12" s="5" t="s">
        <v>44</v>
      </c>
      <c r="J12" s="16">
        <v>58144.299999999996</v>
      </c>
      <c r="L12" s="5" t="s">
        <v>32</v>
      </c>
      <c r="M12" s="16">
        <v>123952.47000000002</v>
      </c>
    </row>
    <row r="13" spans="1:13" x14ac:dyDescent="0.35">
      <c r="A13" s="15" t="s">
        <v>22</v>
      </c>
      <c r="B13" s="12">
        <v>9609.82</v>
      </c>
      <c r="C13" s="12">
        <v>41923.82</v>
      </c>
      <c r="D13" s="12">
        <v>17666.100000000002</v>
      </c>
      <c r="E13" s="12">
        <v>9260.68</v>
      </c>
      <c r="F13" s="12">
        <v>32783.42</v>
      </c>
      <c r="G13" s="12">
        <v>111243.84000000001</v>
      </c>
      <c r="I13" s="5" t="s">
        <v>26</v>
      </c>
      <c r="J13" s="16">
        <v>50239.43</v>
      </c>
      <c r="L13" s="5" t="s">
        <v>36</v>
      </c>
      <c r="M13" s="16">
        <v>140181.79</v>
      </c>
    </row>
    <row r="14" spans="1:13" x14ac:dyDescent="0.35">
      <c r="A14" s="14" t="s">
        <v>34</v>
      </c>
      <c r="B14" s="12">
        <v>79580.5</v>
      </c>
      <c r="C14" s="12">
        <v>61655.68</v>
      </c>
      <c r="D14" s="12">
        <v>18379.150000000001</v>
      </c>
      <c r="E14" s="12">
        <v>59901.91</v>
      </c>
      <c r="F14" s="12">
        <v>91137.17</v>
      </c>
      <c r="G14" s="12">
        <v>310654.40999999997</v>
      </c>
      <c r="I14" s="5" t="s">
        <v>33</v>
      </c>
      <c r="J14" s="16">
        <v>77067.949999999983</v>
      </c>
      <c r="L14" s="5" t="s">
        <v>42</v>
      </c>
      <c r="M14" s="16">
        <v>165502.6</v>
      </c>
    </row>
    <row r="15" spans="1:13" x14ac:dyDescent="0.35">
      <c r="A15" s="15" t="s">
        <v>17</v>
      </c>
      <c r="B15" s="12">
        <v>32352.89</v>
      </c>
      <c r="C15" s="12">
        <v>35263.599999999999</v>
      </c>
      <c r="D15" s="12">
        <v>12681.49</v>
      </c>
      <c r="E15" s="12">
        <v>31025.200000000001</v>
      </c>
      <c r="F15" s="12">
        <v>30691.74</v>
      </c>
      <c r="G15" s="12">
        <v>142014.91999999998</v>
      </c>
      <c r="I15" s="5" t="s">
        <v>58</v>
      </c>
      <c r="J15" s="16">
        <v>63676.17</v>
      </c>
      <c r="L15" s="5" t="s">
        <v>24</v>
      </c>
      <c r="M15" s="16">
        <v>106244.49999999999</v>
      </c>
    </row>
    <row r="16" spans="1:13" x14ac:dyDescent="0.35">
      <c r="A16" s="15" t="s">
        <v>22</v>
      </c>
      <c r="B16" s="12">
        <v>47227.61</v>
      </c>
      <c r="C16" s="12">
        <v>26392.080000000002</v>
      </c>
      <c r="D16" s="12">
        <v>5697.66</v>
      </c>
      <c r="E16" s="12">
        <v>28876.71</v>
      </c>
      <c r="F16" s="12">
        <v>60445.43</v>
      </c>
      <c r="G16" s="12">
        <v>168639.49</v>
      </c>
      <c r="I16" s="5" t="s">
        <v>51</v>
      </c>
      <c r="J16" s="16">
        <v>42580.609999999993</v>
      </c>
      <c r="L16" s="5" t="s">
        <v>28</v>
      </c>
      <c r="M16" s="16">
        <v>123655.53999999998</v>
      </c>
    </row>
    <row r="17" spans="1:13" x14ac:dyDescent="0.35">
      <c r="A17" s="14" t="s">
        <v>19</v>
      </c>
      <c r="B17" s="12">
        <v>75732.56</v>
      </c>
      <c r="C17" s="12">
        <v>32040.760000000002</v>
      </c>
      <c r="D17" s="12">
        <v>6257.1</v>
      </c>
      <c r="E17" s="12">
        <v>69160.3</v>
      </c>
      <c r="F17" s="12">
        <v>66046.73</v>
      </c>
      <c r="G17" s="12">
        <v>249237.45</v>
      </c>
      <c r="I17" s="5" t="s">
        <v>15</v>
      </c>
      <c r="J17" s="16">
        <v>49055.58</v>
      </c>
      <c r="L17" s="5" t="s">
        <v>62</v>
      </c>
      <c r="M17" s="16">
        <v>786978.84999999986</v>
      </c>
    </row>
    <row r="18" spans="1:13" x14ac:dyDescent="0.35">
      <c r="A18" s="15" t="s">
        <v>17</v>
      </c>
      <c r="B18" s="12">
        <v>60631.5</v>
      </c>
      <c r="C18" s="12"/>
      <c r="D18" s="12"/>
      <c r="E18" s="12">
        <v>46541.68</v>
      </c>
      <c r="F18" s="12">
        <v>35086.33</v>
      </c>
      <c r="G18" s="12">
        <v>142259.51</v>
      </c>
      <c r="I18" s="5" t="s">
        <v>48</v>
      </c>
      <c r="J18" s="16">
        <v>51500.509999999995</v>
      </c>
    </row>
    <row r="19" spans="1:13" x14ac:dyDescent="0.35">
      <c r="A19" s="15" t="s">
        <v>22</v>
      </c>
      <c r="B19" s="12">
        <v>15101.060000000001</v>
      </c>
      <c r="C19" s="12">
        <v>32040.760000000002</v>
      </c>
      <c r="D19" s="12">
        <v>6257.1</v>
      </c>
      <c r="E19" s="12">
        <v>22618.620000000003</v>
      </c>
      <c r="F19" s="12">
        <v>30960.399999999998</v>
      </c>
      <c r="G19" s="12">
        <v>106977.94</v>
      </c>
      <c r="I19" s="5" t="s">
        <v>50</v>
      </c>
      <c r="J19" s="16">
        <v>46404.460000000006</v>
      </c>
    </row>
    <row r="20" spans="1:13" x14ac:dyDescent="0.35">
      <c r="A20" s="14" t="s">
        <v>62</v>
      </c>
      <c r="B20" s="12">
        <v>169453.58000000002</v>
      </c>
      <c r="C20" s="12">
        <v>165409.46000000002</v>
      </c>
      <c r="D20" s="12">
        <v>94609.750000000015</v>
      </c>
      <c r="E20" s="12">
        <v>146276.76999999999</v>
      </c>
      <c r="F20" s="12">
        <v>211229.29</v>
      </c>
      <c r="G20" s="12">
        <v>786978.84999999986</v>
      </c>
      <c r="I20" s="5" t="s">
        <v>62</v>
      </c>
      <c r="J20" s="16">
        <v>526135.17999999993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3922A-992A-4CAF-8B27-F6253F47DBA7}">
  <dimension ref="A3:E14"/>
  <sheetViews>
    <sheetView workbookViewId="0">
      <selection activeCell="G7" sqref="G7"/>
    </sheetView>
  </sheetViews>
  <sheetFormatPr defaultRowHeight="14.5" x14ac:dyDescent="0.35"/>
  <cols>
    <col min="1" max="1" width="14.90625" bestFit="1" customWidth="1"/>
    <col min="2" max="3" width="14.36328125" bestFit="1" customWidth="1"/>
    <col min="4" max="4" width="14.90625" customWidth="1"/>
    <col min="5" max="5" width="14.36328125" bestFit="1" customWidth="1"/>
  </cols>
  <sheetData>
    <row r="3" spans="1:5" x14ac:dyDescent="0.35">
      <c r="A3" t="s">
        <v>65</v>
      </c>
      <c r="D3" s="6" t="s">
        <v>64</v>
      </c>
      <c r="E3" s="6" t="str">
        <f>Sheet2!J9</f>
        <v>Sum of Revenue</v>
      </c>
    </row>
    <row r="4" spans="1:5" x14ac:dyDescent="0.35">
      <c r="D4" s="6" t="str">
        <f>Sheet2!I10</f>
        <v>Air Force 1</v>
      </c>
      <c r="E4" s="7">
        <f>Sheet2!J10</f>
        <v>42612.14</v>
      </c>
    </row>
    <row r="5" spans="1:5" x14ac:dyDescent="0.35">
      <c r="D5" s="6" t="str">
        <f>Sheet2!I11</f>
        <v>Air Jordan</v>
      </c>
      <c r="E5" s="7">
        <f>Sheet2!J11</f>
        <v>44854.03</v>
      </c>
    </row>
    <row r="6" spans="1:5" x14ac:dyDescent="0.35">
      <c r="D6" s="6" t="str">
        <f>Sheet2!I12</f>
        <v>Air Zoom</v>
      </c>
      <c r="E6" s="7">
        <f>Sheet2!J12</f>
        <v>58144.299999999996</v>
      </c>
    </row>
    <row r="7" spans="1:5" x14ac:dyDescent="0.35">
      <c r="D7" s="6" t="str">
        <f>Sheet2!I13</f>
        <v>Blazer Mid</v>
      </c>
      <c r="E7" s="7">
        <f>Sheet2!J13</f>
        <v>50239.43</v>
      </c>
    </row>
    <row r="8" spans="1:5" x14ac:dyDescent="0.35">
      <c r="D8" s="6" t="str">
        <f>Sheet2!I14</f>
        <v>Flex Trainer</v>
      </c>
      <c r="E8" s="7">
        <f>Sheet2!J14</f>
        <v>77067.949999999983</v>
      </c>
    </row>
    <row r="9" spans="1:5" x14ac:dyDescent="0.35">
      <c r="D9" s="6" t="str">
        <f>Sheet2!I15</f>
        <v>Lebron 20</v>
      </c>
      <c r="E9" s="7">
        <f>Sheet2!J15</f>
        <v>63676.17</v>
      </c>
    </row>
    <row r="10" spans="1:5" x14ac:dyDescent="0.35">
      <c r="D10" s="6" t="str">
        <f>Sheet2!I16</f>
        <v>Phantom Gt</v>
      </c>
      <c r="E10" s="7">
        <f>Sheet2!J16</f>
        <v>42580.609999999993</v>
      </c>
    </row>
    <row r="11" spans="1:5" x14ac:dyDescent="0.35">
      <c r="D11" s="6" t="str">
        <f>Sheet2!I17</f>
        <v>Superrep Go</v>
      </c>
      <c r="E11" s="7">
        <f>Sheet2!J17</f>
        <v>49055.58</v>
      </c>
    </row>
    <row r="12" spans="1:5" x14ac:dyDescent="0.35">
      <c r="D12" s="6" t="str">
        <f>Sheet2!I18</f>
        <v>Zoom Freak</v>
      </c>
      <c r="E12" s="7">
        <f>Sheet2!J18</f>
        <v>51500.509999999995</v>
      </c>
    </row>
    <row r="13" spans="1:5" x14ac:dyDescent="0.35">
      <c r="D13" s="6" t="str">
        <f>Sheet2!I19</f>
        <v>Zoomx Invincible</v>
      </c>
      <c r="E13" s="7">
        <f>Sheet2!J19</f>
        <v>46404.460000000006</v>
      </c>
    </row>
    <row r="14" spans="1:5" x14ac:dyDescent="0.35">
      <c r="D14" s="6" t="str">
        <f>Sheet2!I20</f>
        <v>Grand Total</v>
      </c>
      <c r="E14" s="7">
        <f>Sheet2!J20</f>
        <v>526135.17999999993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1ED0485-CA32-441B-B068-F567BA2909D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Nike_Sales_Uncleaned</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Pulkit Chauhan</dc:creator>
  <cp:lastModifiedBy>Pulkit Chauhan</cp:lastModifiedBy>
  <dcterms:created xsi:type="dcterms:W3CDTF">2026-09-03T09:44:01Z</dcterms:created>
  <dcterms:modified xsi:type="dcterms:W3CDTF">2026-09-04T13:03:26Z</dcterms:modified>
</cp:coreProperties>
</file>